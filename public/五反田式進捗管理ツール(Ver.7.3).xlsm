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barcelona\PBCOMMON\60.開発関連\五反田式進捗管理ツール\"/>
    </mc:Choice>
  </mc:AlternateContent>
  <xr:revisionPtr revIDLastSave="0" documentId="13_ncr:1_{1CBC9C4F-0E67-405C-AEB2-3BBFE95949A4}" xr6:coauthVersionLast="47" xr6:coauthVersionMax="47" xr10:uidLastSave="{00000000-0000-0000-0000-000000000000}"/>
  <bookViews>
    <workbookView xWindow="-28920" yWindow="-120" windowWidth="29040" windowHeight="15840" tabRatio="777" activeTab="1" xr2:uid="{00000000-000D-0000-FFFF-FFFF00000000}"/>
  </bookViews>
  <sheets>
    <sheet name="ガントチャート" sheetId="14" r:id="rId1"/>
    <sheet name="設定" sheetId="17" r:id="rId2"/>
    <sheet name="休日テーブル" sheetId="15" r:id="rId3"/>
  </sheets>
  <functionGroups builtInGroupCount="19"/>
  <definedNames>
    <definedName name="_xlnm._FilterDatabase" localSheetId="0" hidden="1">ガントチャート!$A$3:$HQ$35</definedName>
    <definedName name="_xlnm.Print_Titles" localSheetId="0">ガントチャート!$A:$M,ガントチャート!$1:$3</definedName>
    <definedName name="ガントチャート行挿入位置" localSheetId="0">ガントチャート!$35:$35</definedName>
    <definedName name="ガントチャート列挿入位置" localSheetId="0">ガントチャート!$HD:$HD</definedName>
    <definedName name="タスク列範囲" localSheetId="0">ガントチャート!$E:$M</definedName>
    <definedName name="絞り込みレベル" localSheetId="0">ガントチャート!$F$1</definedName>
    <definedName name="雷線基準日" localSheetId="0">ガントチャート!$AA$1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3" i="14" l="1"/>
  <c r="R23" i="14"/>
  <c r="T23" i="14"/>
  <c r="Q23" i="14"/>
  <c r="P23" i="14"/>
  <c r="W23" i="14"/>
  <c r="V23" i="14"/>
  <c r="O23" i="14"/>
  <c r="S20" i="14"/>
  <c r="R20" i="14"/>
  <c r="T20" i="14"/>
  <c r="Q20" i="14"/>
  <c r="P20" i="14"/>
  <c r="W20" i="14"/>
  <c r="V20" i="14"/>
  <c r="X20" i="14" s="1"/>
  <c r="O20" i="14"/>
  <c r="X22" i="14"/>
  <c r="Z16" i="14"/>
  <c r="S16" i="14"/>
  <c r="R16" i="14"/>
  <c r="T16" i="14"/>
  <c r="Q16" i="14"/>
  <c r="P16" i="14"/>
  <c r="W16" i="14"/>
  <c r="V16" i="14"/>
  <c r="O16" i="14"/>
  <c r="X19" i="14"/>
  <c r="X18" i="14"/>
  <c r="X17" i="14"/>
  <c r="Z17" i="14"/>
  <c r="X16" i="14"/>
  <c r="S11" i="14"/>
  <c r="R11" i="14"/>
  <c r="T11" i="14"/>
  <c r="Q11" i="14"/>
  <c r="P11" i="14"/>
  <c r="W11" i="14"/>
  <c r="V11" i="14"/>
  <c r="O11" i="14"/>
  <c r="Z6" i="14"/>
  <c r="S6" i="14"/>
  <c r="R6" i="14"/>
  <c r="T6" i="14"/>
  <c r="Q6" i="14"/>
  <c r="P6" i="14"/>
  <c r="W6" i="14"/>
  <c r="V6" i="14"/>
  <c r="O6" i="14"/>
  <c r="X10" i="14"/>
  <c r="Z10" i="14"/>
  <c r="X9" i="14"/>
  <c r="Z9" i="14"/>
  <c r="X8" i="14"/>
  <c r="Z8" i="14"/>
  <c r="X7" i="14"/>
  <c r="Z7" i="14"/>
  <c r="X6" i="14"/>
  <c r="Z4" i="14"/>
  <c r="S4" i="14"/>
  <c r="R4" i="14"/>
  <c r="T4" i="14"/>
  <c r="Q4" i="14"/>
  <c r="P4" i="14"/>
  <c r="W4" i="14"/>
  <c r="V4" i="14"/>
  <c r="O4" i="14"/>
  <c r="X5" i="14"/>
  <c r="Z5" i="14"/>
  <c r="X4" i="14"/>
  <c r="A5" i="14" l="1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4" i="14"/>
  <c r="EU1" i="14" l="1"/>
  <c r="EV1" i="14"/>
  <c r="EW1" i="14"/>
  <c r="EX1" i="14"/>
  <c r="EY1" i="14"/>
  <c r="EZ1" i="14"/>
  <c r="FA1" i="14"/>
  <c r="FB1" i="14"/>
  <c r="FC1" i="14"/>
  <c r="FD1" i="14"/>
  <c r="FE1" i="14"/>
  <c r="FF1" i="14"/>
  <c r="FG1" i="14"/>
  <c r="FH1" i="14"/>
  <c r="FI1" i="14"/>
  <c r="FJ1" i="14"/>
  <c r="FK1" i="14"/>
  <c r="FL1" i="14"/>
  <c r="FM1" i="14"/>
  <c r="FN1" i="14"/>
  <c r="FO1" i="14"/>
  <c r="FP1" i="14"/>
  <c r="FQ1" i="14"/>
  <c r="FR1" i="14"/>
  <c r="FS1" i="14"/>
  <c r="FT1" i="14"/>
  <c r="FU1" i="14"/>
  <c r="FV1" i="14"/>
  <c r="FW1" i="14"/>
  <c r="FX1" i="14"/>
  <c r="FY1" i="14"/>
  <c r="FZ1" i="14"/>
  <c r="GA1" i="14"/>
  <c r="GB1" i="14"/>
  <c r="GC1" i="14"/>
  <c r="GD1" i="14"/>
  <c r="GE1" i="14"/>
  <c r="GF1" i="14"/>
  <c r="GG1" i="14"/>
  <c r="GH1" i="14"/>
  <c r="GI1" i="14"/>
  <c r="GJ1" i="14"/>
  <c r="GK1" i="14"/>
  <c r="GL1" i="14"/>
  <c r="GM1" i="14"/>
  <c r="GN1" i="14"/>
  <c r="GO1" i="14"/>
  <c r="GP1" i="14"/>
  <c r="GQ1" i="14"/>
  <c r="GR1" i="14"/>
  <c r="GS1" i="14"/>
  <c r="GT1" i="14"/>
  <c r="GU1" i="14"/>
  <c r="GV1" i="14"/>
  <c r="GW1" i="14"/>
  <c r="GX1" i="14"/>
  <c r="GY1" i="14"/>
  <c r="GZ1" i="14"/>
  <c r="HA1" i="14"/>
  <c r="HB1" i="14"/>
  <c r="HC1" i="14"/>
  <c r="EU3" i="14"/>
  <c r="EV3" i="14"/>
  <c r="EW3" i="14"/>
  <c r="EX3" i="14"/>
  <c r="EY3" i="14"/>
  <c r="EZ3" i="14"/>
  <c r="FA3" i="14"/>
  <c r="FB3" i="14"/>
  <c r="FC3" i="14"/>
  <c r="FD3" i="14"/>
  <c r="FE3" i="14"/>
  <c r="FF3" i="14"/>
  <c r="FG3" i="14"/>
  <c r="FH3" i="14"/>
  <c r="FI3" i="14"/>
  <c r="FJ3" i="14"/>
  <c r="FK3" i="14"/>
  <c r="FL3" i="14"/>
  <c r="FM3" i="14"/>
  <c r="FN3" i="14"/>
  <c r="FO3" i="14"/>
  <c r="FP3" i="14"/>
  <c r="FQ3" i="14"/>
  <c r="FR3" i="14"/>
  <c r="FS3" i="14"/>
  <c r="FT3" i="14"/>
  <c r="FU3" i="14"/>
  <c r="FV3" i="14"/>
  <c r="FW3" i="14"/>
  <c r="FX3" i="14"/>
  <c r="FY3" i="14"/>
  <c r="FZ3" i="14"/>
  <c r="GA3" i="14"/>
  <c r="GB3" i="14"/>
  <c r="GC3" i="14"/>
  <c r="GD3" i="14"/>
  <c r="GE3" i="14"/>
  <c r="GF3" i="14"/>
  <c r="GG3" i="14"/>
  <c r="GH3" i="14"/>
  <c r="GI3" i="14"/>
  <c r="GJ3" i="14"/>
  <c r="GK3" i="14"/>
  <c r="GL3" i="14"/>
  <c r="GM3" i="14"/>
  <c r="GN3" i="14"/>
  <c r="GO3" i="14"/>
  <c r="GP3" i="14"/>
  <c r="GQ3" i="14"/>
  <c r="GR3" i="14"/>
  <c r="GS3" i="14"/>
  <c r="GT3" i="14"/>
  <c r="GU3" i="14"/>
  <c r="GV3" i="14"/>
  <c r="GW3" i="14"/>
  <c r="GX3" i="14"/>
  <c r="GY3" i="14"/>
  <c r="GZ3" i="14"/>
  <c r="HA3" i="14"/>
  <c r="HB3" i="14"/>
  <c r="HC3" i="14"/>
  <c r="AB1" i="14" l="1"/>
  <c r="AC1" i="14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BZ1" i="14"/>
  <c r="CA1" i="14"/>
  <c r="CB1" i="14"/>
  <c r="CC1" i="14"/>
  <c r="CD1" i="14"/>
  <c r="CE1" i="14"/>
  <c r="CF1" i="14"/>
  <c r="CG1" i="14"/>
  <c r="CH1" i="14"/>
  <c r="CI1" i="14"/>
  <c r="CJ1" i="14"/>
  <c r="CK1" i="14"/>
  <c r="CL1" i="14"/>
  <c r="CM1" i="14"/>
  <c r="CN1" i="14"/>
  <c r="CO1" i="14"/>
  <c r="CP1" i="14"/>
  <c r="CQ1" i="14"/>
  <c r="CR1" i="14"/>
  <c r="CS1" i="14"/>
  <c r="CT1" i="14"/>
  <c r="CU1" i="14"/>
  <c r="CV1" i="14"/>
  <c r="CW1" i="14"/>
  <c r="CX1" i="14"/>
  <c r="CY1" i="14"/>
  <c r="CZ1" i="14"/>
  <c r="DA1" i="14"/>
  <c r="DB1" i="14"/>
  <c r="DC1" i="14"/>
  <c r="DD1" i="14"/>
  <c r="DE1" i="14"/>
  <c r="DF1" i="14"/>
  <c r="DG1" i="14"/>
  <c r="DH1" i="14"/>
  <c r="DI1" i="14"/>
  <c r="DJ1" i="14"/>
  <c r="DK1" i="14"/>
  <c r="DL1" i="14"/>
  <c r="DM1" i="14"/>
  <c r="DN1" i="14"/>
  <c r="DO1" i="14"/>
  <c r="DP1" i="14"/>
  <c r="DQ1" i="14"/>
  <c r="DR1" i="14"/>
  <c r="DS1" i="14"/>
  <c r="DT1" i="14"/>
  <c r="DU1" i="14"/>
  <c r="DV1" i="14"/>
  <c r="DW1" i="14"/>
  <c r="DX1" i="14"/>
  <c r="DY1" i="14"/>
  <c r="DZ1" i="14"/>
  <c r="EA1" i="14"/>
  <c r="EB1" i="14"/>
  <c r="EC1" i="14"/>
  <c r="ED1" i="14"/>
  <c r="EE1" i="14"/>
  <c r="EF1" i="14"/>
  <c r="EG1" i="14"/>
  <c r="EH1" i="14"/>
  <c r="EI1" i="14"/>
  <c r="EJ1" i="14"/>
  <c r="EK1" i="14"/>
  <c r="EL1" i="14"/>
  <c r="EM1" i="14"/>
  <c r="EN1" i="14"/>
  <c r="EO1" i="14"/>
  <c r="EP1" i="14"/>
  <c r="EQ1" i="14"/>
  <c r="ER1" i="14"/>
  <c r="ES1" i="14"/>
  <c r="ET1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DT3" i="14"/>
  <c r="DU3" i="14"/>
  <c r="DV3" i="14"/>
  <c r="DW3" i="14"/>
  <c r="DX3" i="14"/>
  <c r="DY3" i="14"/>
  <c r="DZ3" i="14"/>
  <c r="EA3" i="14"/>
  <c r="EB3" i="14"/>
  <c r="EC3" i="14"/>
  <c r="ED3" i="14"/>
  <c r="EE3" i="14"/>
  <c r="EF3" i="14"/>
  <c r="EG3" i="14"/>
  <c r="EH3" i="14"/>
  <c r="EI3" i="14"/>
  <c r="EJ3" i="14"/>
  <c r="EK3" i="14"/>
  <c r="EL3" i="14"/>
  <c r="EM3" i="14"/>
  <c r="EN3" i="14"/>
  <c r="EO3" i="14"/>
  <c r="EP3" i="14"/>
  <c r="EQ3" i="14"/>
  <c r="ER3" i="14"/>
  <c r="ES3" i="14"/>
  <c r="ET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五反田基秀</author>
    <author>user</author>
  </authors>
  <commentList>
    <comment ref="C2" authorId="0" shapeId="0" xr:uid="{600796D7-0BE9-4029-9BE6-9EB9DCAA2AA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複数入力はカンマでつなぐこと
</t>
        </r>
      </text>
    </comment>
    <comment ref="U2" authorId="1" shapeId="0" xr:uid="{35363642-AD88-4CDD-B461-E76DDCD8EC8E}">
      <text>
        <r>
          <rPr>
            <b/>
            <sz val="12"/>
            <color indexed="10"/>
            <rFont val="ＭＳ Ｐゴシック"/>
            <family val="3"/>
            <charset val="128"/>
          </rPr>
          <t>雷船描画時に自動計算されます。</t>
        </r>
      </text>
    </comment>
  </commentList>
</comments>
</file>

<file path=xl/sharedStrings.xml><?xml version="1.0" encoding="utf-8"?>
<sst xmlns="http://schemas.openxmlformats.org/spreadsheetml/2006/main" count="565" uniqueCount="105">
  <si>
    <t>担当</t>
  </si>
  <si>
    <t xml:space="preserve">
</t>
    <phoneticPr fontId="6"/>
  </si>
  <si>
    <t>雷線基準日：</t>
    <rPh sb="0" eb="1">
      <t>カミナリ</t>
    </rPh>
    <rPh sb="1" eb="2">
      <t>セン</t>
    </rPh>
    <rPh sb="2" eb="5">
      <t>キジュンビ</t>
    </rPh>
    <phoneticPr fontId="6"/>
  </si>
  <si>
    <t>#</t>
    <phoneticPr fontId="6"/>
  </si>
  <si>
    <t>ﾀｽｸID</t>
    <phoneticPr fontId="6"/>
  </si>
  <si>
    <t>タスク</t>
    <phoneticPr fontId="6"/>
  </si>
  <si>
    <t>予定工数</t>
    <rPh sb="0" eb="2">
      <t>ヨテイ</t>
    </rPh>
    <rPh sb="2" eb="4">
      <t>コウスウ</t>
    </rPh>
    <phoneticPr fontId="6"/>
  </si>
  <si>
    <t>予定</t>
    <rPh sb="0" eb="2">
      <t>ヨテイ</t>
    </rPh>
    <phoneticPr fontId="6"/>
  </si>
  <si>
    <t>実績</t>
    <rPh sb="0" eb="2">
      <t>ジッセキ</t>
    </rPh>
    <phoneticPr fontId="6"/>
  </si>
  <si>
    <t>進捗率</t>
    <rPh sb="0" eb="2">
      <t>シンチョク</t>
    </rPh>
    <rPh sb="2" eb="3">
      <t>リツ</t>
    </rPh>
    <phoneticPr fontId="6"/>
  </si>
  <si>
    <t>稼動予定日数</t>
    <rPh sb="0" eb="2">
      <t>カドウ</t>
    </rPh>
    <rPh sb="2" eb="4">
      <t>ヨテイ</t>
    </rPh>
    <rPh sb="4" eb="6">
      <t>ニッスウ</t>
    </rPh>
    <phoneticPr fontId="6"/>
  </si>
  <si>
    <t>PV</t>
    <phoneticPr fontId="6"/>
  </si>
  <si>
    <t>EV</t>
    <phoneticPr fontId="6"/>
  </si>
  <si>
    <t>備考</t>
    <rPh sb="0" eb="2">
      <t>ビコウ</t>
    </rPh>
    <phoneticPr fontId="6"/>
  </si>
  <si>
    <t>(MD)</t>
    <phoneticPr fontId="6"/>
  </si>
  <si>
    <t>開始日</t>
  </si>
  <si>
    <t>終了日</t>
  </si>
  <si>
    <t>日付</t>
    <rPh sb="0" eb="2">
      <t>ヒヅケ</t>
    </rPh>
    <phoneticPr fontId="6"/>
  </si>
  <si>
    <t>祝日</t>
    <rPh sb="0" eb="2">
      <t>シュクジツ</t>
    </rPh>
    <phoneticPr fontId="6"/>
  </si>
  <si>
    <t>祝日定義ルール</t>
    <rPh sb="0" eb="2">
      <t>シュクジツ</t>
    </rPh>
    <rPh sb="2" eb="4">
      <t>テイギ</t>
    </rPh>
    <phoneticPr fontId="6"/>
  </si>
  <si>
    <t>振替</t>
    <rPh sb="0" eb="2">
      <t>フリカエ</t>
    </rPh>
    <phoneticPr fontId="6"/>
  </si>
  <si>
    <t>元日</t>
    <rPh sb="0" eb="2">
      <t>ガンジツ</t>
    </rPh>
    <phoneticPr fontId="6"/>
  </si>
  <si>
    <t>日付固定(1/1)</t>
    <rPh sb="0" eb="2">
      <t>ヒヅケ</t>
    </rPh>
    <rPh sb="2" eb="4">
      <t>コテイ</t>
    </rPh>
    <phoneticPr fontId="6"/>
  </si>
  <si>
    <t>正月休み</t>
    <rPh sb="0" eb="2">
      <t>ショウガツ</t>
    </rPh>
    <rPh sb="2" eb="3">
      <t>ヤス</t>
    </rPh>
    <phoneticPr fontId="6"/>
  </si>
  <si>
    <t>日付固定(1/2)</t>
    <rPh sb="0" eb="2">
      <t>ヒヅケ</t>
    </rPh>
    <rPh sb="2" eb="4">
      <t>コテイ</t>
    </rPh>
    <phoneticPr fontId="6"/>
  </si>
  <si>
    <t>日付固定(1/3)</t>
    <rPh sb="0" eb="2">
      <t>ヒヅケ</t>
    </rPh>
    <rPh sb="2" eb="4">
      <t>コテイ</t>
    </rPh>
    <phoneticPr fontId="6"/>
  </si>
  <si>
    <t>成人の日</t>
    <rPh sb="0" eb="2">
      <t>セイジン</t>
    </rPh>
    <rPh sb="3" eb="4">
      <t>ヒ</t>
    </rPh>
    <phoneticPr fontId="6"/>
  </si>
  <si>
    <t>1月第二月曜日</t>
    <rPh sb="1" eb="2">
      <t>ガツ</t>
    </rPh>
    <rPh sb="2" eb="4">
      <t>ダイニ</t>
    </rPh>
    <rPh sb="4" eb="7">
      <t>ゲツヨウビ</t>
    </rPh>
    <phoneticPr fontId="6"/>
  </si>
  <si>
    <t>建国記念の日</t>
    <rPh sb="0" eb="2">
      <t>ケンコク</t>
    </rPh>
    <rPh sb="2" eb="4">
      <t>キネン</t>
    </rPh>
    <rPh sb="5" eb="6">
      <t>ヒ</t>
    </rPh>
    <phoneticPr fontId="6"/>
  </si>
  <si>
    <t>日付固定(2/11)</t>
    <rPh sb="0" eb="2">
      <t>ヒヅケ</t>
    </rPh>
    <rPh sb="2" eb="4">
      <t>コテイ</t>
    </rPh>
    <phoneticPr fontId="6"/>
  </si>
  <si>
    <t>天皇誕生日</t>
    <rPh sb="0" eb="2">
      <t>テンノウ</t>
    </rPh>
    <rPh sb="2" eb="5">
      <t>タンジョウビ</t>
    </rPh>
    <phoneticPr fontId="6"/>
  </si>
  <si>
    <t>日付固定(2/23)</t>
    <rPh sb="0" eb="2">
      <t>ヒヅケ</t>
    </rPh>
    <rPh sb="2" eb="4">
      <t>コテイ</t>
    </rPh>
    <phoneticPr fontId="6"/>
  </si>
  <si>
    <t>春分の日</t>
    <rPh sb="0" eb="2">
      <t>シュンブン</t>
    </rPh>
    <rPh sb="3" eb="4">
      <t>ヒ</t>
    </rPh>
    <phoneticPr fontId="6"/>
  </si>
  <si>
    <t>変動</t>
    <rPh sb="0" eb="2">
      <t>ヘンドウ</t>
    </rPh>
    <phoneticPr fontId="6"/>
  </si>
  <si>
    <t>昭和の日</t>
    <rPh sb="0" eb="2">
      <t>ショウワ</t>
    </rPh>
    <rPh sb="3" eb="4">
      <t>ヒ</t>
    </rPh>
    <phoneticPr fontId="6"/>
  </si>
  <si>
    <t>日付固定(4/29)</t>
    <rPh sb="0" eb="2">
      <t>ヒヅケ</t>
    </rPh>
    <rPh sb="2" eb="4">
      <t>コテイ</t>
    </rPh>
    <phoneticPr fontId="6"/>
  </si>
  <si>
    <t>憲法記念日</t>
    <rPh sb="0" eb="2">
      <t>ケンポウ</t>
    </rPh>
    <rPh sb="2" eb="5">
      <t>キネンビ</t>
    </rPh>
    <phoneticPr fontId="6"/>
  </si>
  <si>
    <t>日付固定(5/3)</t>
    <rPh sb="0" eb="2">
      <t>ヒヅケ</t>
    </rPh>
    <rPh sb="2" eb="4">
      <t>コテイ</t>
    </rPh>
    <phoneticPr fontId="6"/>
  </si>
  <si>
    <t>みどりの日</t>
    <rPh sb="4" eb="5">
      <t>ヒ</t>
    </rPh>
    <phoneticPr fontId="6"/>
  </si>
  <si>
    <t>日付固定(5/4)</t>
    <rPh sb="0" eb="2">
      <t>ヒヅケ</t>
    </rPh>
    <rPh sb="2" eb="4">
      <t>コテイ</t>
    </rPh>
    <phoneticPr fontId="6"/>
  </si>
  <si>
    <t>こどもの日</t>
    <rPh sb="4" eb="5">
      <t>ヒ</t>
    </rPh>
    <phoneticPr fontId="6"/>
  </si>
  <si>
    <t>日付固定(5/5)</t>
    <rPh sb="0" eb="2">
      <t>ヒヅケ</t>
    </rPh>
    <rPh sb="2" eb="4">
      <t>コテイ</t>
    </rPh>
    <phoneticPr fontId="6"/>
  </si>
  <si>
    <t>海の日</t>
    <rPh sb="0" eb="1">
      <t>ウミ</t>
    </rPh>
    <rPh sb="2" eb="3">
      <t>ヒ</t>
    </rPh>
    <phoneticPr fontId="6"/>
  </si>
  <si>
    <t>7月第三月曜日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</si>
  <si>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山の日</t>
    <rPh sb="0" eb="1">
      <t>ヤマ</t>
    </rPh>
    <rPh sb="2" eb="3">
      <t>ヒ</t>
    </rPh>
    <phoneticPr fontId="6"/>
  </si>
  <si>
    <t>日付固定(8/11)</t>
    <rPh sb="0" eb="2">
      <t>ヒヅケ</t>
    </rPh>
    <rPh sb="2" eb="4">
      <t>コテイ</t>
    </rPh>
    <phoneticPr fontId="6"/>
  </si>
  <si>
    <t>敬老の日</t>
    <rPh sb="0" eb="2">
      <t>ケイロウ</t>
    </rPh>
    <rPh sb="3" eb="4">
      <t>ヒ</t>
    </rPh>
    <phoneticPr fontId="6"/>
  </si>
  <si>
    <t>9月第三月曜日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</si>
  <si>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秋分の日</t>
    <rPh sb="0" eb="2">
      <t>シュウブン</t>
    </rPh>
    <rPh sb="3" eb="4">
      <t>ヒ</t>
    </rPh>
    <phoneticPr fontId="6"/>
  </si>
  <si>
    <t>体育の日</t>
    <rPh sb="0" eb="2">
      <t>タイイク</t>
    </rPh>
    <rPh sb="3" eb="4">
      <t>ヒ</t>
    </rPh>
    <phoneticPr fontId="6"/>
  </si>
  <si>
    <t>10月第二月曜日</t>
    <rPh sb="2" eb="3">
      <t>ガツ</t>
    </rPh>
    <rPh sb="3" eb="5">
      <t>ダイニ</t>
    </rPh>
    <rPh sb="5" eb="8">
      <t>ゲツヨウビ</t>
    </rPh>
    <phoneticPr fontId="6"/>
  </si>
  <si>
    <t>文化の日</t>
    <rPh sb="0" eb="2">
      <t>ブンカ</t>
    </rPh>
    <rPh sb="3" eb="4">
      <t>ヒ</t>
    </rPh>
    <phoneticPr fontId="6"/>
  </si>
  <si>
    <t>日付固定(11/3)</t>
    <rPh sb="0" eb="2">
      <t>ヒヅケ</t>
    </rPh>
    <rPh sb="2" eb="4">
      <t>コテイ</t>
    </rPh>
    <phoneticPr fontId="6"/>
  </si>
  <si>
    <t>勤労感謝の日</t>
    <rPh sb="0" eb="2">
      <t>キンロウ</t>
    </rPh>
    <rPh sb="2" eb="4">
      <t>カンシャ</t>
    </rPh>
    <rPh sb="5" eb="6">
      <t>ヒ</t>
    </rPh>
    <phoneticPr fontId="6"/>
  </si>
  <si>
    <t>日付固定(11/23)</t>
    <rPh sb="0" eb="2">
      <t>ヒヅケ</t>
    </rPh>
    <rPh sb="2" eb="4">
      <t>コテイ</t>
    </rPh>
    <phoneticPr fontId="6"/>
  </si>
  <si>
    <t>大晦日</t>
    <rPh sb="0" eb="3">
      <t>オオミソカ</t>
    </rPh>
    <phoneticPr fontId="6"/>
  </si>
  <si>
    <t>日付固定(12/31)</t>
    <rPh sb="0" eb="2">
      <t>ヒヅケ</t>
    </rPh>
    <rPh sb="2" eb="4">
      <t>コテイ</t>
    </rPh>
    <phoneticPr fontId="6"/>
  </si>
  <si>
    <t>□</t>
  </si>
  <si>
    <t>振替</t>
    <rPh sb="0" eb="2">
      <t>フリカエ</t>
    </rPh>
    <phoneticPr fontId="1"/>
  </si>
  <si>
    <t>先行ﾀｽｸID</t>
    <rPh sb="0" eb="2">
      <t>センコウ</t>
    </rPh>
    <phoneticPr fontId="1"/>
  </si>
  <si>
    <t>進捗率応当日</t>
    <rPh sb="0" eb="3">
      <t>シンチョクリツ</t>
    </rPh>
    <rPh sb="3" eb="6">
      <t>オウトウビ</t>
    </rPh>
    <phoneticPr fontId="1"/>
  </si>
  <si>
    <t>遅延日数</t>
    <rPh sb="0" eb="4">
      <t>チエンニッスウ</t>
    </rPh>
    <phoneticPr fontId="1"/>
  </si>
  <si>
    <t>基準日進捗率</t>
    <rPh sb="0" eb="3">
      <t>キジュンビ</t>
    </rPh>
    <rPh sb="3" eb="5">
      <t>シンチョク</t>
    </rPh>
    <rPh sb="5" eb="6">
      <t>リツ</t>
    </rPh>
    <phoneticPr fontId="1"/>
  </si>
  <si>
    <t>＃</t>
    <phoneticPr fontId="1"/>
  </si>
  <si>
    <t>設定項目</t>
    <rPh sb="0" eb="4">
      <t>セッテイコウモク</t>
    </rPh>
    <phoneticPr fontId="1"/>
  </si>
  <si>
    <t>値</t>
    <rPh sb="0" eb="1">
      <t>アタイ</t>
    </rPh>
    <phoneticPr fontId="1"/>
  </si>
  <si>
    <t>予定工数の自動設定</t>
    <rPh sb="0" eb="4">
      <t>ヨテイコウスウ</t>
    </rPh>
    <rPh sb="5" eb="9">
      <t>ジドウセッテイ</t>
    </rPh>
    <phoneticPr fontId="1"/>
  </si>
  <si>
    <t>備考</t>
    <rPh sb="0" eb="2">
      <t>ビコウ</t>
    </rPh>
    <phoneticPr fontId="1"/>
  </si>
  <si>
    <t>自動オンスケ設定判定項目名</t>
    <rPh sb="0" eb="2">
      <t>ジドウ</t>
    </rPh>
    <rPh sb="6" eb="8">
      <t>セッテイ</t>
    </rPh>
    <rPh sb="8" eb="10">
      <t>ハンテイ</t>
    </rPh>
    <rPh sb="10" eb="13">
      <t>コウモクメイ</t>
    </rPh>
    <phoneticPr fontId="1"/>
  </si>
  <si>
    <t>自動オンスケ設定有無</t>
    <rPh sb="0" eb="2">
      <t>ジドウ</t>
    </rPh>
    <rPh sb="6" eb="8">
      <t>セッテイ</t>
    </rPh>
    <rPh sb="8" eb="10">
      <t>ウム</t>
    </rPh>
    <phoneticPr fontId="1"/>
  </si>
  <si>
    <t>常にオンスケになる進捗率を設定するレコードを特定するための項目を配置するか否かの設定。</t>
    <rPh sb="0" eb="1">
      <t>ツネ</t>
    </rPh>
    <rPh sb="9" eb="12">
      <t>シンチョクリツ</t>
    </rPh>
    <rPh sb="13" eb="15">
      <t>セッテイ</t>
    </rPh>
    <rPh sb="22" eb="24">
      <t>トクテイ</t>
    </rPh>
    <rPh sb="29" eb="31">
      <t>コウモク</t>
    </rPh>
    <rPh sb="32" eb="34">
      <t>ハイチ</t>
    </rPh>
    <rPh sb="37" eb="38">
      <t>イナ</t>
    </rPh>
    <rPh sb="40" eb="42">
      <t>セッテイ</t>
    </rPh>
    <phoneticPr fontId="1"/>
  </si>
  <si>
    <t>スケジュール線オブジェクト表示</t>
    <rPh sb="6" eb="7">
      <t>セン</t>
    </rPh>
    <rPh sb="13" eb="15">
      <t>ヒョウジ</t>
    </rPh>
    <phoneticPr fontId="1"/>
  </si>
  <si>
    <t>■</t>
  </si>
  <si>
    <t>表示モードでスケジュール線をオブジェクトで表示するかどうかの設定。</t>
    <rPh sb="30" eb="32">
      <t>セッテイ</t>
    </rPh>
    <phoneticPr fontId="1"/>
  </si>
  <si>
    <r>
      <t>自動オンスケにする場合、ガントチャート上で当該項目は数字の1を設定すること。
セルの書式設定はユーザ設定により”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</rPr>
      <t>"</t>
    </r>
    <r>
      <rPr>
        <sz val="11"/>
        <color theme="1"/>
        <rFont val="Yu Gothic"/>
        <family val="2"/>
        <charset val="128"/>
      </rPr>
      <t>を入力し、入力規則は「整数」で1のみ許可する設定とする。</t>
    </r>
    <r>
      <rPr>
        <sz val="11"/>
        <color theme="1"/>
        <rFont val="Yu Gothic"/>
        <family val="2"/>
        <scheme val="minor"/>
      </rPr>
      <t xml:space="preserve">
入力時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  <scheme val="minor"/>
      </rPr>
      <t>を入れるには数字の1を入力する。</t>
    </r>
    <rPh sb="0" eb="2">
      <t>ジドウ</t>
    </rPh>
    <rPh sb="9" eb="11">
      <t>バアイ</t>
    </rPh>
    <rPh sb="19" eb="20">
      <t>ジョウ</t>
    </rPh>
    <rPh sb="21" eb="23">
      <t>トウガイ</t>
    </rPh>
    <rPh sb="23" eb="25">
      <t>コウモク</t>
    </rPh>
    <rPh sb="26" eb="28">
      <t>スウジ</t>
    </rPh>
    <rPh sb="31" eb="33">
      <t>セッテイ</t>
    </rPh>
    <rPh sb="42" eb="44">
      <t>ショシキ</t>
    </rPh>
    <rPh sb="44" eb="46">
      <t>セッテイ</t>
    </rPh>
    <rPh sb="50" eb="52">
      <t>セッテイ</t>
    </rPh>
    <rPh sb="59" eb="61">
      <t>ニュウリョク</t>
    </rPh>
    <rPh sb="63" eb="67">
      <t>ニュウリョクキソク</t>
    </rPh>
    <rPh sb="69" eb="71">
      <t>セイスウ</t>
    </rPh>
    <rPh sb="76" eb="78">
      <t>キョカ</t>
    </rPh>
    <rPh sb="80" eb="82">
      <t>セッテイ</t>
    </rPh>
    <rPh sb="87" eb="90">
      <t>ニュウリョクジ</t>
    </rPh>
    <rPh sb="92" eb="93">
      <t>イ</t>
    </rPh>
    <rPh sb="97" eb="99">
      <t>スウジ</t>
    </rPh>
    <rPh sb="102" eb="104">
      <t>ニュウリョク</t>
    </rPh>
    <phoneticPr fontId="1"/>
  </si>
  <si>
    <t>表示する</t>
  </si>
  <si>
    <t>LV9</t>
  </si>
  <si>
    <t>LV1</t>
    <phoneticPr fontId="1"/>
  </si>
  <si>
    <t>LV2</t>
  </si>
  <si>
    <t>LV3</t>
  </si>
  <si>
    <t>LV4</t>
  </si>
  <si>
    <t>LV5</t>
  </si>
  <si>
    <t>LV6</t>
  </si>
  <si>
    <t>LV7</t>
  </si>
  <si>
    <t>LV8</t>
  </si>
  <si>
    <t>しない</t>
  </si>
  <si>
    <t>設定しない</t>
  </si>
  <si>
    <t>〇〇〇〇〇</t>
  </si>
  <si>
    <t>〇〇〇〇〇〇〇</t>
  </si>
  <si>
    <t>〇〇〇〇〇〇〇</t>
    <phoneticPr fontId="1"/>
  </si>
  <si>
    <t>〇〇</t>
    <phoneticPr fontId="1"/>
  </si>
  <si>
    <t>〇〇〇〇〇〇〇〇〇〇〇</t>
    <phoneticPr fontId="1"/>
  </si>
  <si>
    <t>〇〇〇〇〇〇〇〇〇〇〇〇〇</t>
    <phoneticPr fontId="1"/>
  </si>
  <si>
    <t>〇〇〇</t>
    <phoneticPr fontId="1"/>
  </si>
  <si>
    <t>〇〇〇〇〇〇</t>
    <phoneticPr fontId="1"/>
  </si>
  <si>
    <t>〇〇〇〇〇〇〇〇〇〇</t>
    <phoneticPr fontId="1"/>
  </si>
  <si>
    <t>〇〇〇〇〇〇〇〇〇</t>
    <phoneticPr fontId="1"/>
  </si>
  <si>
    <t>〇〇〇〇</t>
  </si>
  <si>
    <t>〇〇〇〇</t>
    <phoneticPr fontId="1"/>
  </si>
  <si>
    <t>〇〇〇〇〇〇〇〇</t>
    <phoneticPr fontId="1"/>
  </si>
  <si>
    <t>〇〇〇〇〇〇〇〇〇〇〇〇〇〇〇〇〇〇〇</t>
    <phoneticPr fontId="1"/>
  </si>
  <si>
    <t>〇〇〇〇〇〇〇〇〇〇〇〇</t>
    <phoneticPr fontId="1"/>
  </si>
  <si>
    <t>「しない」以外を設定した場合は、予定工数が開始日と終了日の間の日数で自動せってされる。休日が考慮されるか否かについては設定値により判断される。</t>
    <rPh sb="5" eb="7">
      <t>イガイ</t>
    </rPh>
    <rPh sb="8" eb="10">
      <t>セッテイ</t>
    </rPh>
    <rPh sb="12" eb="14">
      <t>バアイ</t>
    </rPh>
    <rPh sb="16" eb="20">
      <t>ヨテイコウスウ</t>
    </rPh>
    <rPh sb="21" eb="24">
      <t>カイシビ</t>
    </rPh>
    <rPh sb="25" eb="28">
      <t>シュウリョウビ</t>
    </rPh>
    <rPh sb="29" eb="30">
      <t>アイダ</t>
    </rPh>
    <rPh sb="31" eb="33">
      <t>ニッスウ</t>
    </rPh>
    <rPh sb="34" eb="36">
      <t>ジドウ</t>
    </rPh>
    <rPh sb="43" eb="45">
      <t>キュウジツ</t>
    </rPh>
    <rPh sb="46" eb="48">
      <t>コウリョ</t>
    </rPh>
    <rPh sb="52" eb="53">
      <t>イナ</t>
    </rPh>
    <rPh sb="59" eb="62">
      <t>セッテイチ</t>
    </rPh>
    <rPh sb="65" eb="67">
      <t>ハンダン</t>
    </rPh>
    <phoneticPr fontId="1"/>
  </si>
  <si>
    <t>□</t>
    <phoneticPr fontId="1"/>
  </si>
  <si>
    <t>備考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</si>
</sst>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#,##0.0;[Red]\-#,##0.0"/>
    <numFmt numFmtId="178" formatCode="d"/>
    <numFmt numFmtId="179" formatCode="aaa"/>
    <numFmt numFmtId="180" formatCode="#%"/>
    <numFmt numFmtId="181" formatCode="yyyy/mm/dd/\(aaa\)"/>
    <numFmt numFmtId="182" formatCode="yy/mm/dd"/>
  </numFmts>
  <fonts count="1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1"/>
      <name val="Yu Gothic"/>
      <family val="2"/>
      <scheme val="minor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charset val="128"/>
    </font>
    <font>
      <sz val="11"/>
      <color theme="1"/>
      <name val="Segoe UI Symbol"/>
      <family val="2"/>
    </font>
    <font>
      <sz val="11"/>
      <color theme="1"/>
      <name val="Yu Gothic"/>
      <family val="2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45">
    <xf numFmtId="0" fontId="0" fillId="0" borderId="0" xfId="0"/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14" fontId="7" fillId="0" borderId="0" xfId="1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179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/>
    <xf numFmtId="181" fontId="0" fillId="0" borderId="0" xfId="0" applyNumberFormat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179" fontId="0" fillId="3" borderId="2" xfId="0" applyNumberFormat="1" applyFill="1" applyBorder="1" applyAlignment="1">
      <alignment horizontal="center" vertical="center"/>
    </xf>
    <xf numFmtId="49" fontId="11" fillId="4" borderId="9" xfId="0" applyNumberFormat="1" applyFont="1" applyFill="1" applyBorder="1" applyAlignment="1">
      <alignment horizontal="center" vertical="center" wrapText="1"/>
    </xf>
    <xf numFmtId="177" fontId="11" fillId="4" borderId="9" xfId="3" applyNumberFormat="1" applyFont="1" applyFill="1" applyBorder="1" applyAlignment="1">
      <alignment horizontal="center" vertical="center" wrapText="1"/>
    </xf>
    <xf numFmtId="49" fontId="5" fillId="4" borderId="16" xfId="0" applyNumberFormat="1" applyFont="1" applyFill="1" applyBorder="1" applyAlignment="1">
      <alignment horizontal="center" vertical="center" wrapText="1"/>
    </xf>
    <xf numFmtId="176" fontId="11" fillId="4" borderId="3" xfId="0" applyNumberFormat="1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 wrapText="1"/>
    </xf>
    <xf numFmtId="49" fontId="10" fillId="5" borderId="16" xfId="0" applyNumberFormat="1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177" fontId="11" fillId="4" borderId="16" xfId="3" applyNumberFormat="1" applyFont="1" applyFill="1" applyBorder="1" applyAlignment="1">
      <alignment vertical="center" wrapText="1"/>
    </xf>
    <xf numFmtId="9" fontId="2" fillId="0" borderId="0" xfId="1" applyFont="1" applyFill="1" applyBorder="1" applyAlignment="1">
      <alignment vertical="center"/>
    </xf>
    <xf numFmtId="177" fontId="2" fillId="0" borderId="5" xfId="3" applyNumberFormat="1" applyFont="1" applyFill="1" applyBorder="1" applyAlignment="1">
      <alignment horizontal="center" vertical="center" wrapText="1"/>
    </xf>
    <xf numFmtId="177" fontId="2" fillId="0" borderId="5" xfId="3" applyNumberFormat="1" applyFont="1" applyFill="1" applyBorder="1" applyAlignment="1">
      <alignment horizontal="right" vertical="center"/>
    </xf>
    <xf numFmtId="180" fontId="2" fillId="0" borderId="4" xfId="1" applyNumberFormat="1" applyFont="1" applyFill="1" applyBorder="1" applyAlignment="1">
      <alignment vertical="center"/>
    </xf>
    <xf numFmtId="180" fontId="2" fillId="0" borderId="24" xfId="1" applyNumberFormat="1" applyFont="1" applyFill="1" applyBorder="1" applyAlignment="1">
      <alignment vertical="center"/>
    </xf>
    <xf numFmtId="177" fontId="2" fillId="0" borderId="24" xfId="3" applyNumberFormat="1" applyFont="1" applyFill="1" applyBorder="1" applyAlignment="1">
      <alignment vertical="center"/>
    </xf>
    <xf numFmtId="49" fontId="12" fillId="2" borderId="32" xfId="0" applyNumberFormat="1" applyFont="1" applyFill="1" applyBorder="1" applyAlignment="1">
      <alignment vertical="center"/>
    </xf>
    <xf numFmtId="180" fontId="2" fillId="2" borderId="31" xfId="1" applyNumberFormat="1" applyFont="1" applyFill="1" applyBorder="1" applyAlignment="1">
      <alignment vertical="center"/>
    </xf>
    <xf numFmtId="177" fontId="2" fillId="2" borderId="31" xfId="3" applyNumberFormat="1" applyFont="1" applyFill="1" applyBorder="1" applyAlignment="1">
      <alignment vertical="center"/>
    </xf>
    <xf numFmtId="177" fontId="2" fillId="0" borderId="0" xfId="3" applyNumberFormat="1" applyFont="1" applyFill="1" applyBorder="1" applyAlignment="1">
      <alignment vertical="center"/>
    </xf>
    <xf numFmtId="49" fontId="10" fillId="5" borderId="17" xfId="0" applyNumberFormat="1" applyFont="1" applyFill="1" applyBorder="1" applyAlignment="1">
      <alignment horizontal="left" vertical="center" wrapText="1"/>
    </xf>
    <xf numFmtId="49" fontId="10" fillId="5" borderId="18" xfId="0" applyNumberFormat="1" applyFont="1" applyFill="1" applyBorder="1" applyAlignment="1">
      <alignment horizontal="left" vertical="center" wrapText="1"/>
    </xf>
    <xf numFmtId="49" fontId="10" fillId="5" borderId="19" xfId="0" applyNumberFormat="1" applyFont="1" applyFill="1" applyBorder="1" applyAlignment="1">
      <alignment horizontal="left" vertical="center" wrapText="1"/>
    </xf>
    <xf numFmtId="49" fontId="10" fillId="5" borderId="10" xfId="0" applyNumberFormat="1" applyFont="1" applyFill="1" applyBorder="1" applyAlignment="1">
      <alignment horizontal="center" vertical="center" wrapText="1"/>
    </xf>
    <xf numFmtId="182" fontId="2" fillId="0" borderId="0" xfId="1" applyNumberFormat="1" applyFont="1" applyFill="1" applyBorder="1" applyAlignment="1">
      <alignment vertical="center" wrapText="1"/>
    </xf>
    <xf numFmtId="182" fontId="0" fillId="0" borderId="0" xfId="0" applyNumberFormat="1" applyAlignment="1">
      <alignment horizontal="center" vertical="center"/>
    </xf>
    <xf numFmtId="182" fontId="11" fillId="5" borderId="12" xfId="0" applyNumberFormat="1" applyFont="1" applyFill="1" applyBorder="1" applyAlignment="1">
      <alignment horizontal="centerContinuous" vertical="center"/>
    </xf>
    <xf numFmtId="182" fontId="11" fillId="5" borderId="10" xfId="0" applyNumberFormat="1" applyFont="1" applyFill="1" applyBorder="1" applyAlignment="1">
      <alignment horizontal="centerContinuous" vertical="center"/>
    </xf>
    <xf numFmtId="182" fontId="11" fillId="4" borderId="3" xfId="0" applyNumberFormat="1" applyFont="1" applyFill="1" applyBorder="1" applyAlignment="1">
      <alignment horizontal="center" vertical="center"/>
    </xf>
    <xf numFmtId="0" fontId="14" fillId="0" borderId="22" xfId="0" applyFont="1" applyBorder="1" applyAlignment="1">
      <alignment vertical="center"/>
    </xf>
    <xf numFmtId="180" fontId="13" fillId="0" borderId="24" xfId="1" applyNumberFormat="1" applyFont="1" applyFill="1" applyBorder="1" applyAlignment="1">
      <alignment vertical="center"/>
    </xf>
    <xf numFmtId="180" fontId="13" fillId="0" borderId="4" xfId="1" applyNumberFormat="1" applyFont="1" applyFill="1" applyBorder="1" applyAlignment="1">
      <alignment vertical="center"/>
    </xf>
    <xf numFmtId="177" fontId="11" fillId="4" borderId="41" xfId="3" applyNumberFormat="1" applyFont="1" applyFill="1" applyBorder="1" applyAlignment="1">
      <alignment horizontal="center" vertical="center" wrapText="1"/>
    </xf>
    <xf numFmtId="177" fontId="11" fillId="4" borderId="3" xfId="3" applyNumberFormat="1" applyFont="1" applyFill="1" applyBorder="1" applyAlignment="1">
      <alignment vertical="center" wrapText="1"/>
    </xf>
    <xf numFmtId="177" fontId="2" fillId="0" borderId="25" xfId="3" applyNumberFormat="1" applyFont="1" applyFill="1" applyBorder="1" applyAlignment="1">
      <alignment vertical="center"/>
    </xf>
    <xf numFmtId="177" fontId="13" fillId="0" borderId="25" xfId="3" applyNumberFormat="1" applyFont="1" applyFill="1" applyBorder="1" applyAlignment="1">
      <alignment vertical="center"/>
    </xf>
    <xf numFmtId="177" fontId="2" fillId="2" borderId="32" xfId="3" applyNumberFormat="1" applyFont="1" applyFill="1" applyBorder="1" applyAlignment="1">
      <alignment vertical="center"/>
    </xf>
    <xf numFmtId="182" fontId="2" fillId="0" borderId="0" xfId="1" applyNumberFormat="1" applyFont="1" applyFill="1" applyBorder="1" applyAlignment="1">
      <alignment horizontal="center" vertical="center" wrapText="1"/>
    </xf>
    <xf numFmtId="182" fontId="13" fillId="0" borderId="25" xfId="0" applyNumberFormat="1" applyFont="1" applyBorder="1" applyAlignment="1">
      <alignment horizontal="center" vertical="center"/>
    </xf>
    <xf numFmtId="49" fontId="11" fillId="5" borderId="13" xfId="1" applyNumberFormat="1" applyFont="1" applyFill="1" applyBorder="1" applyAlignment="1">
      <alignment horizontal="center" vertical="center" wrapText="1"/>
    </xf>
    <xf numFmtId="49" fontId="11" fillId="5" borderId="20" xfId="1" applyNumberFormat="1" applyFont="1" applyFill="1" applyBorder="1" applyAlignment="1">
      <alignment horizontal="center" vertical="center" wrapText="1"/>
    </xf>
    <xf numFmtId="49" fontId="0" fillId="0" borderId="0" xfId="1" applyNumberFormat="1" applyFont="1" applyFill="1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0" applyNumberFormat="1" applyAlignment="1">
      <alignment vertical="center"/>
    </xf>
    <xf numFmtId="0" fontId="0" fillId="0" borderId="42" xfId="0" applyBorder="1" applyAlignment="1">
      <alignment vertical="top" wrapText="1"/>
    </xf>
    <xf numFmtId="0" fontId="0" fillId="4" borderId="42" xfId="0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4" fillId="0" borderId="24" xfId="0" applyFont="1" applyBorder="1" applyAlignment="1">
      <alignment horizontal="center" vertical="center" wrapText="1"/>
    </xf>
    <xf numFmtId="177" fontId="14" fillId="0" borderId="24" xfId="3" applyNumberFormat="1" applyFont="1" applyFill="1" applyBorder="1" applyAlignment="1">
      <alignment vertical="center"/>
    </xf>
    <xf numFmtId="0" fontId="13" fillId="0" borderId="22" xfId="0" applyFont="1" applyBorder="1" applyAlignment="1">
      <alignment vertical="center"/>
    </xf>
    <xf numFmtId="182" fontId="13" fillId="0" borderId="4" xfId="0" applyNumberFormat="1" applyFont="1" applyBorder="1" applyAlignment="1">
      <alignment vertical="center"/>
    </xf>
    <xf numFmtId="182" fontId="13" fillId="0" borderId="23" xfId="0" applyNumberFormat="1" applyFont="1" applyBorder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13" fillId="0" borderId="24" xfId="0" applyFont="1" applyBorder="1" applyAlignment="1">
      <alignment horizontal="center" vertical="center" wrapText="1"/>
    </xf>
    <xf numFmtId="177" fontId="13" fillId="0" borderId="24" xfId="3" applyNumberFormat="1" applyFont="1" applyFill="1" applyBorder="1" applyAlignment="1">
      <alignment vertical="center"/>
    </xf>
    <xf numFmtId="49" fontId="2" fillId="0" borderId="28" xfId="1" applyNumberFormat="1" applyFont="1" applyFill="1" applyBorder="1" applyAlignment="1">
      <alignment vertical="center" wrapText="1"/>
    </xf>
    <xf numFmtId="180" fontId="14" fillId="0" borderId="24" xfId="1" applyNumberFormat="1" applyFont="1" applyFill="1" applyBorder="1" applyAlignment="1">
      <alignment vertical="center"/>
    </xf>
    <xf numFmtId="49" fontId="2" fillId="2" borderId="35" xfId="1" applyNumberFormat="1" applyFont="1" applyFill="1" applyBorder="1" applyAlignment="1">
      <alignment vertical="center" wrapText="1"/>
    </xf>
    <xf numFmtId="49" fontId="2" fillId="0" borderId="0" xfId="1" applyNumberFormat="1" applyFont="1" applyFill="1" applyBorder="1" applyAlignment="1">
      <alignment vertical="center" wrapText="1"/>
    </xf>
    <xf numFmtId="0" fontId="13" fillId="0" borderId="0" xfId="0" applyFont="1"/>
    <xf numFmtId="0" fontId="13" fillId="0" borderId="0" xfId="0" applyFont="1" applyAlignment="1">
      <alignment vertical="center"/>
    </xf>
    <xf numFmtId="0" fontId="13" fillId="0" borderId="24" xfId="0" applyFont="1" applyBorder="1" applyAlignment="1">
      <alignment vertical="center" wrapText="1"/>
    </xf>
    <xf numFmtId="0" fontId="13" fillId="0" borderId="26" xfId="0" applyFont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49" fontId="13" fillId="0" borderId="28" xfId="1" applyNumberFormat="1" applyFont="1" applyFill="1" applyBorder="1" applyAlignment="1">
      <alignment vertical="center" wrapText="1"/>
    </xf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24" xfId="0" applyFont="1" applyBorder="1" applyAlignment="1">
      <alignment vertical="center" wrapText="1"/>
    </xf>
    <xf numFmtId="182" fontId="14" fillId="0" borderId="25" xfId="0" applyNumberFormat="1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177" fontId="14" fillId="0" borderId="25" xfId="3" applyNumberFormat="1" applyFont="1" applyFill="1" applyBorder="1" applyAlignment="1">
      <alignment vertical="center"/>
    </xf>
    <xf numFmtId="49" fontId="14" fillId="0" borderId="28" xfId="1" applyNumberFormat="1" applyFont="1" applyFill="1" applyBorder="1" applyAlignment="1">
      <alignment vertical="center" wrapText="1"/>
    </xf>
    <xf numFmtId="9" fontId="11" fillId="5" borderId="10" xfId="1" applyFont="1" applyFill="1" applyBorder="1" applyAlignment="1">
      <alignment vertical="center"/>
    </xf>
    <xf numFmtId="182" fontId="11" fillId="4" borderId="4" xfId="0" applyNumberFormat="1" applyFont="1" applyFill="1" applyBorder="1" applyAlignment="1">
      <alignment horizontal="center" vertical="center"/>
    </xf>
    <xf numFmtId="182" fontId="11" fillId="4" borderId="23" xfId="0" applyNumberFormat="1" applyFont="1" applyFill="1" applyBorder="1" applyAlignment="1">
      <alignment horizontal="center" vertical="center"/>
    </xf>
    <xf numFmtId="182" fontId="11" fillId="5" borderId="21" xfId="0" applyNumberFormat="1" applyFont="1" applyFill="1" applyBorder="1" applyAlignment="1">
      <alignment horizontal="center" vertical="center"/>
    </xf>
    <xf numFmtId="182" fontId="11" fillId="5" borderId="4" xfId="0" applyNumberFormat="1" applyFont="1" applyFill="1" applyBorder="1" applyAlignment="1">
      <alignment horizontal="center" vertical="center"/>
    </xf>
    <xf numFmtId="9" fontId="11" fillId="5" borderId="4" xfId="1" applyFont="1" applyFill="1" applyBorder="1" applyAlignment="1">
      <alignment horizontal="center" vertical="center"/>
    </xf>
    <xf numFmtId="182" fontId="13" fillId="0" borderId="21" xfId="0" applyNumberFormat="1" applyFont="1" applyBorder="1" applyAlignment="1">
      <alignment horizontal="center" vertical="center"/>
    </xf>
    <xf numFmtId="182" fontId="13" fillId="0" borderId="4" xfId="0" applyNumberFormat="1" applyFont="1" applyBorder="1" applyAlignment="1">
      <alignment horizontal="center" vertical="center"/>
    </xf>
    <xf numFmtId="182" fontId="14" fillId="0" borderId="21" xfId="0" applyNumberFormat="1" applyFont="1" applyBorder="1" applyAlignment="1">
      <alignment horizontal="center" vertical="center"/>
    </xf>
    <xf numFmtId="182" fontId="14" fillId="0" borderId="4" xfId="0" applyNumberFormat="1" applyFont="1" applyBorder="1" applyAlignment="1">
      <alignment horizontal="center" vertical="center"/>
    </xf>
    <xf numFmtId="180" fontId="14" fillId="0" borderId="4" xfId="1" applyNumberFormat="1" applyFont="1" applyFill="1" applyBorder="1" applyAlignment="1">
      <alignment vertical="center"/>
    </xf>
    <xf numFmtId="182" fontId="14" fillId="0" borderId="4" xfId="0" applyNumberFormat="1" applyFont="1" applyBorder="1" applyAlignment="1">
      <alignment vertical="center"/>
    </xf>
    <xf numFmtId="182" fontId="14" fillId="0" borderId="23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5" fillId="5" borderId="15" xfId="0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182" fontId="0" fillId="0" borderId="4" xfId="0" applyNumberFormat="1" applyBorder="1" applyAlignment="1">
      <alignment vertical="center"/>
    </xf>
    <xf numFmtId="182" fontId="0" fillId="0" borderId="23" xfId="0" applyNumberFormat="1" applyBorder="1" applyAlignment="1">
      <alignment vertical="center"/>
    </xf>
    <xf numFmtId="18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182" fontId="0" fillId="0" borderId="21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0" fontId="0" fillId="2" borderId="30" xfId="0" applyFill="1" applyBorder="1" applyAlignment="1">
      <alignment vertical="center" wrapText="1"/>
    </xf>
    <xf numFmtId="0" fontId="0" fillId="2" borderId="31" xfId="0" applyFill="1" applyBorder="1" applyAlignment="1">
      <alignment vertical="center" wrapText="1"/>
    </xf>
    <xf numFmtId="49" fontId="0" fillId="2" borderId="31" xfId="0" applyNumberFormat="1" applyFill="1" applyBorder="1" applyAlignment="1">
      <alignment horizontal="center" vertical="center" wrapText="1"/>
    </xf>
    <xf numFmtId="49" fontId="0" fillId="2" borderId="33" xfId="0" applyNumberFormat="1" applyFill="1" applyBorder="1" applyAlignment="1">
      <alignment vertical="center"/>
    </xf>
    <xf numFmtId="49" fontId="0" fillId="2" borderId="34" xfId="0" applyNumberFormat="1" applyFill="1" applyBorder="1" applyAlignment="1">
      <alignment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1" xfId="0" applyFill="1" applyBorder="1" applyAlignment="1">
      <alignment vertical="center"/>
    </xf>
    <xf numFmtId="182" fontId="0" fillId="2" borderId="31" xfId="0" applyNumberFormat="1" applyFill="1" applyBorder="1" applyAlignment="1">
      <alignment vertical="center"/>
    </xf>
    <xf numFmtId="182" fontId="0" fillId="2" borderId="32" xfId="0" applyNumberFormat="1" applyFill="1" applyBorder="1" applyAlignment="1">
      <alignment vertical="center"/>
    </xf>
    <xf numFmtId="182" fontId="0" fillId="2" borderId="30" xfId="0" applyNumberFormat="1" applyFill="1" applyBorder="1" applyAlignment="1">
      <alignment horizontal="center" vertical="center"/>
    </xf>
    <xf numFmtId="182" fontId="0" fillId="2" borderId="31" xfId="0" applyNumberFormat="1" applyFill="1" applyBorder="1" applyAlignment="1">
      <alignment horizontal="center" vertical="center"/>
    </xf>
    <xf numFmtId="182" fontId="0" fillId="2" borderId="32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82" fontId="11" fillId="4" borderId="10" xfId="0" applyNumberFormat="1" applyFont="1" applyFill="1" applyBorder="1" applyAlignment="1">
      <alignment horizontal="center" vertical="center"/>
    </xf>
    <xf numFmtId="182" fontId="11" fillId="4" borderId="11" xfId="0" applyNumberFormat="1" applyFont="1" applyFill="1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 wrapText="1"/>
    </xf>
    <xf numFmtId="49" fontId="0" fillId="0" borderId="38" xfId="0" applyNumberFormat="1" applyBorder="1" applyAlignment="1">
      <alignment horizontal="center" vertical="center" wrapText="1"/>
    </xf>
    <xf numFmtId="49" fontId="10" fillId="5" borderId="11" xfId="0" applyNumberFormat="1" applyFont="1" applyFill="1" applyBorder="1" applyAlignment="1">
      <alignment horizontal="center" vertical="center" wrapText="1"/>
    </xf>
    <xf numFmtId="49" fontId="10" fillId="5" borderId="39" xfId="0" applyNumberFormat="1" applyFont="1" applyFill="1" applyBorder="1" applyAlignment="1">
      <alignment horizontal="center" vertical="center" wrapText="1"/>
    </xf>
    <xf numFmtId="49" fontId="10" fillId="5" borderId="40" xfId="0" applyNumberFormat="1" applyFont="1" applyFill="1" applyBorder="1" applyAlignment="1">
      <alignment horizontal="center" vertical="center" wrapText="1"/>
    </xf>
  </cellXfs>
  <cellStyles count="4">
    <cellStyle name="Normal 2" xfId="2" xr:uid="{C28BBF3E-227A-459A-85D0-1D01D5ED9268}"/>
    <cellStyle name="パーセント" xfId="1" builtinId="5"/>
    <cellStyle name="桁区切り" xfId="3" builtinId="6"/>
    <cellStyle name="標準" xfId="0" builtinId="0"/>
  </cellStyles>
  <dxfs count="6"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A4F0F2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0</xdr:colOff>
      <xdr:row>19</xdr:row>
      <xdr:rowOff>66675</xdr:rowOff>
    </xdr:from>
    <xdr:to>
      <xdr:col>83</xdr:col>
      <xdr:colOff>0</xdr:colOff>
      <xdr:row>19</xdr:row>
      <xdr:rowOff>161925</xdr:rowOff>
    </xdr:to>
    <xdr:sp macro="" textlink="">
      <xdr:nvSpPr>
        <xdr:cNvPr id="447378" name="バー17">
          <a:extLst>
            <a:ext uri="{FF2B5EF4-FFF2-40B4-BE49-F238E27FC236}">
              <a16:creationId xmlns:a16="http://schemas.microsoft.com/office/drawing/2014/main" id="{1884B05F-AD56-C636-C2F5-ED9D2D9F4207}"/>
            </a:ext>
          </a:extLst>
        </xdr:cNvPr>
        <xdr:cNvSpPr/>
      </xdr:nvSpPr>
      <xdr:spPr>
        <a:xfrm>
          <a:off x="17926050" y="5019675"/>
          <a:ext cx="333375" cy="95250"/>
        </a:xfrm>
        <a:prstGeom prst="rect">
          <a:avLst/>
        </a:prstGeom>
        <a:solidFill>
          <a:srgbClr val="329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78</xdr:col>
      <xdr:colOff>0</xdr:colOff>
      <xdr:row>21</xdr:row>
      <xdr:rowOff>71438</xdr:rowOff>
    </xdr:from>
    <xdr:to>
      <xdr:col>83</xdr:col>
      <xdr:colOff>0</xdr:colOff>
      <xdr:row>21</xdr:row>
      <xdr:rowOff>166688</xdr:rowOff>
    </xdr:to>
    <xdr:sp macro="" textlink="">
      <xdr:nvSpPr>
        <xdr:cNvPr id="447372" name="バー19">
          <a:extLst>
            <a:ext uri="{FF2B5EF4-FFF2-40B4-BE49-F238E27FC236}">
              <a16:creationId xmlns:a16="http://schemas.microsoft.com/office/drawing/2014/main" id="{23F16C3C-538E-92D0-9CF5-33A0FFB5D4A5}"/>
            </a:ext>
          </a:extLst>
        </xdr:cNvPr>
        <xdr:cNvSpPr/>
      </xdr:nvSpPr>
      <xdr:spPr>
        <a:xfrm>
          <a:off x="17926050" y="5500688"/>
          <a:ext cx="333375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39</xdr:col>
      <xdr:colOff>0</xdr:colOff>
      <xdr:row>15</xdr:row>
      <xdr:rowOff>66675</xdr:rowOff>
    </xdr:from>
    <xdr:to>
      <xdr:col>83</xdr:col>
      <xdr:colOff>0</xdr:colOff>
      <xdr:row>15</xdr:row>
      <xdr:rowOff>161925</xdr:rowOff>
    </xdr:to>
    <xdr:sp macro="" textlink="">
      <xdr:nvSpPr>
        <xdr:cNvPr id="447366" name="バー13">
          <a:extLst>
            <a:ext uri="{FF2B5EF4-FFF2-40B4-BE49-F238E27FC236}">
              <a16:creationId xmlns:a16="http://schemas.microsoft.com/office/drawing/2014/main" id="{1A2B13D7-EFBA-A52E-8695-C6B75308085A}"/>
            </a:ext>
          </a:extLst>
        </xdr:cNvPr>
        <xdr:cNvSpPr/>
      </xdr:nvSpPr>
      <xdr:spPr>
        <a:xfrm>
          <a:off x="15325725" y="4076700"/>
          <a:ext cx="2933700" cy="95250"/>
        </a:xfrm>
        <a:prstGeom prst="rect">
          <a:avLst/>
        </a:prstGeom>
        <a:solidFill>
          <a:srgbClr val="329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58</xdr:col>
      <xdr:colOff>0</xdr:colOff>
      <xdr:row>18</xdr:row>
      <xdr:rowOff>71438</xdr:rowOff>
    </xdr:from>
    <xdr:to>
      <xdr:col>83</xdr:col>
      <xdr:colOff>0</xdr:colOff>
      <xdr:row>18</xdr:row>
      <xdr:rowOff>166688</xdr:rowOff>
    </xdr:to>
    <xdr:sp macro="" textlink="">
      <xdr:nvSpPr>
        <xdr:cNvPr id="447358" name="バー16">
          <a:extLst>
            <a:ext uri="{FF2B5EF4-FFF2-40B4-BE49-F238E27FC236}">
              <a16:creationId xmlns:a16="http://schemas.microsoft.com/office/drawing/2014/main" id="{FF6091BF-8F5E-7C1E-6600-DB0C6600BCF3}"/>
            </a:ext>
          </a:extLst>
        </xdr:cNvPr>
        <xdr:cNvSpPr/>
      </xdr:nvSpPr>
      <xdr:spPr>
        <a:xfrm>
          <a:off x="16592550" y="4795838"/>
          <a:ext cx="1666875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58</xdr:col>
      <xdr:colOff>0</xdr:colOff>
      <xdr:row>17</xdr:row>
      <xdr:rowOff>71438</xdr:rowOff>
    </xdr:from>
    <xdr:to>
      <xdr:col>76</xdr:col>
      <xdr:colOff>0</xdr:colOff>
      <xdr:row>17</xdr:row>
      <xdr:rowOff>166688</xdr:rowOff>
    </xdr:to>
    <xdr:sp macro="" textlink="">
      <xdr:nvSpPr>
        <xdr:cNvPr id="447354" name="バー15">
          <a:extLst>
            <a:ext uri="{FF2B5EF4-FFF2-40B4-BE49-F238E27FC236}">
              <a16:creationId xmlns:a16="http://schemas.microsoft.com/office/drawing/2014/main" id="{78E5D4FD-752D-003C-2BAA-89DD77DBDA3B}"/>
            </a:ext>
          </a:extLst>
        </xdr:cNvPr>
        <xdr:cNvSpPr/>
      </xdr:nvSpPr>
      <xdr:spPr>
        <a:xfrm>
          <a:off x="16592550" y="4557713"/>
          <a:ext cx="1200150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39</xdr:col>
      <xdr:colOff>0</xdr:colOff>
      <xdr:row>16</xdr:row>
      <xdr:rowOff>71438</xdr:rowOff>
    </xdr:from>
    <xdr:to>
      <xdr:col>58</xdr:col>
      <xdr:colOff>0</xdr:colOff>
      <xdr:row>16</xdr:row>
      <xdr:rowOff>166688</xdr:rowOff>
    </xdr:to>
    <xdr:sp macro="" textlink="">
      <xdr:nvSpPr>
        <xdr:cNvPr id="447350" name="バー14">
          <a:extLst>
            <a:ext uri="{FF2B5EF4-FFF2-40B4-BE49-F238E27FC236}">
              <a16:creationId xmlns:a16="http://schemas.microsoft.com/office/drawing/2014/main" id="{45CD9A31-04BC-168E-51FF-0AE5925B0C5C}"/>
            </a:ext>
          </a:extLst>
        </xdr:cNvPr>
        <xdr:cNvSpPr/>
      </xdr:nvSpPr>
      <xdr:spPr>
        <a:xfrm>
          <a:off x="15325725" y="4319588"/>
          <a:ext cx="1266825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27</xdr:col>
      <xdr:colOff>0</xdr:colOff>
      <xdr:row>5</xdr:row>
      <xdr:rowOff>66675</xdr:rowOff>
    </xdr:from>
    <xdr:to>
      <xdr:col>211</xdr:col>
      <xdr:colOff>0</xdr:colOff>
      <xdr:row>5</xdr:row>
      <xdr:rowOff>161925</xdr:rowOff>
    </xdr:to>
    <xdr:sp macro="" textlink="">
      <xdr:nvSpPr>
        <xdr:cNvPr id="447332" name="バー3">
          <a:extLst>
            <a:ext uri="{FF2B5EF4-FFF2-40B4-BE49-F238E27FC236}">
              <a16:creationId xmlns:a16="http://schemas.microsoft.com/office/drawing/2014/main" id="{F6081CFF-0FEE-BC24-5062-1C3FBED0FDCF}"/>
            </a:ext>
          </a:extLst>
        </xdr:cNvPr>
        <xdr:cNvSpPr/>
      </xdr:nvSpPr>
      <xdr:spPr>
        <a:xfrm>
          <a:off x="14525625" y="1714500"/>
          <a:ext cx="12268200" cy="95250"/>
        </a:xfrm>
        <a:prstGeom prst="rect">
          <a:avLst/>
        </a:prstGeom>
        <a:solidFill>
          <a:srgbClr val="329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50</xdr:col>
      <xdr:colOff>0</xdr:colOff>
      <xdr:row>9</xdr:row>
      <xdr:rowOff>71438</xdr:rowOff>
    </xdr:from>
    <xdr:to>
      <xdr:col>62</xdr:col>
      <xdr:colOff>0</xdr:colOff>
      <xdr:row>9</xdr:row>
      <xdr:rowOff>166688</xdr:rowOff>
    </xdr:to>
    <xdr:sp macro="" textlink="">
      <xdr:nvSpPr>
        <xdr:cNvPr id="447326" name="バー7">
          <a:extLst>
            <a:ext uri="{FF2B5EF4-FFF2-40B4-BE49-F238E27FC236}">
              <a16:creationId xmlns:a16="http://schemas.microsoft.com/office/drawing/2014/main" id="{2B60965A-4711-8CBE-5364-DDAA06791F22}"/>
            </a:ext>
          </a:extLst>
        </xdr:cNvPr>
        <xdr:cNvSpPr/>
      </xdr:nvSpPr>
      <xdr:spPr>
        <a:xfrm>
          <a:off x="16059150" y="2671763"/>
          <a:ext cx="800100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27</xdr:col>
      <xdr:colOff>0</xdr:colOff>
      <xdr:row>8</xdr:row>
      <xdr:rowOff>71438</xdr:rowOff>
    </xdr:from>
    <xdr:to>
      <xdr:col>211</xdr:col>
      <xdr:colOff>0</xdr:colOff>
      <xdr:row>8</xdr:row>
      <xdr:rowOff>166688</xdr:rowOff>
    </xdr:to>
    <xdr:sp macro="" textlink="">
      <xdr:nvSpPr>
        <xdr:cNvPr id="447322" name="バー6">
          <a:extLst>
            <a:ext uri="{FF2B5EF4-FFF2-40B4-BE49-F238E27FC236}">
              <a16:creationId xmlns:a16="http://schemas.microsoft.com/office/drawing/2014/main" id="{EBC3E443-41D6-9597-B755-D205139DCFD2}"/>
            </a:ext>
          </a:extLst>
        </xdr:cNvPr>
        <xdr:cNvSpPr/>
      </xdr:nvSpPr>
      <xdr:spPr>
        <a:xfrm>
          <a:off x="14525625" y="2433638"/>
          <a:ext cx="12268200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38</xdr:col>
      <xdr:colOff>0</xdr:colOff>
      <xdr:row>7</xdr:row>
      <xdr:rowOff>71438</xdr:rowOff>
    </xdr:from>
    <xdr:to>
      <xdr:col>60</xdr:col>
      <xdr:colOff>0</xdr:colOff>
      <xdr:row>7</xdr:row>
      <xdr:rowOff>166688</xdr:rowOff>
    </xdr:to>
    <xdr:sp macro="" textlink="">
      <xdr:nvSpPr>
        <xdr:cNvPr id="447318" name="バー5">
          <a:extLst>
            <a:ext uri="{FF2B5EF4-FFF2-40B4-BE49-F238E27FC236}">
              <a16:creationId xmlns:a16="http://schemas.microsoft.com/office/drawing/2014/main" id="{09217904-B6EA-8CF4-3082-4597B4D81F2D}"/>
            </a:ext>
          </a:extLst>
        </xdr:cNvPr>
        <xdr:cNvSpPr/>
      </xdr:nvSpPr>
      <xdr:spPr>
        <a:xfrm>
          <a:off x="15259050" y="2195513"/>
          <a:ext cx="1466850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38</xdr:col>
      <xdr:colOff>0</xdr:colOff>
      <xdr:row>6</xdr:row>
      <xdr:rowOff>71438</xdr:rowOff>
    </xdr:from>
    <xdr:to>
      <xdr:col>59</xdr:col>
      <xdr:colOff>0</xdr:colOff>
      <xdr:row>6</xdr:row>
      <xdr:rowOff>166688</xdr:rowOff>
    </xdr:to>
    <xdr:sp macro="" textlink="">
      <xdr:nvSpPr>
        <xdr:cNvPr id="447314" name="バー4">
          <a:extLst>
            <a:ext uri="{FF2B5EF4-FFF2-40B4-BE49-F238E27FC236}">
              <a16:creationId xmlns:a16="http://schemas.microsoft.com/office/drawing/2014/main" id="{148E6544-D54E-A83F-4FFE-344421AA5F6F}"/>
            </a:ext>
          </a:extLst>
        </xdr:cNvPr>
        <xdr:cNvSpPr/>
      </xdr:nvSpPr>
      <xdr:spPr>
        <a:xfrm>
          <a:off x="15259050" y="1957388"/>
          <a:ext cx="1400175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38</xdr:col>
      <xdr:colOff>0</xdr:colOff>
      <xdr:row>3</xdr:row>
      <xdr:rowOff>66675</xdr:rowOff>
    </xdr:from>
    <xdr:to>
      <xdr:col>39</xdr:col>
      <xdr:colOff>0</xdr:colOff>
      <xdr:row>3</xdr:row>
      <xdr:rowOff>161925</xdr:rowOff>
    </xdr:to>
    <xdr:sp macro="" textlink="">
      <xdr:nvSpPr>
        <xdr:cNvPr id="447310" name="バー1">
          <a:extLst>
            <a:ext uri="{FF2B5EF4-FFF2-40B4-BE49-F238E27FC236}">
              <a16:creationId xmlns:a16="http://schemas.microsoft.com/office/drawing/2014/main" id="{025D1182-DB68-97E5-77D0-DA5F52D32127}"/>
            </a:ext>
          </a:extLst>
        </xdr:cNvPr>
        <xdr:cNvSpPr/>
      </xdr:nvSpPr>
      <xdr:spPr>
        <a:xfrm>
          <a:off x="15259050" y="1247775"/>
          <a:ext cx="66675" cy="95250"/>
        </a:xfrm>
        <a:prstGeom prst="rect">
          <a:avLst/>
        </a:prstGeom>
        <a:solidFill>
          <a:srgbClr val="329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38</xdr:col>
      <xdr:colOff>0</xdr:colOff>
      <xdr:row>4</xdr:row>
      <xdr:rowOff>71438</xdr:rowOff>
    </xdr:from>
    <xdr:to>
      <xdr:col>39</xdr:col>
      <xdr:colOff>0</xdr:colOff>
      <xdr:row>4</xdr:row>
      <xdr:rowOff>166688</xdr:rowOff>
    </xdr:to>
    <xdr:sp macro="" textlink="">
      <xdr:nvSpPr>
        <xdr:cNvPr id="447302" name="バー2">
          <a:extLst>
            <a:ext uri="{FF2B5EF4-FFF2-40B4-BE49-F238E27FC236}">
              <a16:creationId xmlns:a16="http://schemas.microsoft.com/office/drawing/2014/main" id="{77CB0E03-D905-1411-EFEF-2F9B92E3500D}"/>
            </a:ext>
          </a:extLst>
        </xdr:cNvPr>
        <xdr:cNvSpPr/>
      </xdr:nvSpPr>
      <xdr:spPr>
        <a:xfrm>
          <a:off x="15259050" y="1490663"/>
          <a:ext cx="66675" cy="95250"/>
        </a:xfrm>
        <a:prstGeom prst="rect">
          <a:avLst/>
        </a:prstGeom>
        <a:solidFill>
          <a:srgbClr val="96969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雷線描画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雷線削除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0</xdr:rowOff>
        </xdr:from>
        <xdr:to>
          <xdr:col>12</xdr:col>
          <xdr:colOff>781050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タスクレベルでの絞り込み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809625</xdr:colOff>
          <xdr:row>0</xdr:row>
          <xdr:rowOff>9525</xdr:rowOff>
        </xdr:from>
        <xdr:to>
          <xdr:col>14</xdr:col>
          <xdr:colOff>476250</xdr:colOff>
          <xdr:row>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予定日から予定線設定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0</xdr:row>
      <xdr:rowOff>0</xdr:rowOff>
    </xdr:from>
    <xdr:to>
      <xdr:col>58</xdr:col>
      <xdr:colOff>0</xdr:colOff>
      <xdr:row>1</xdr:row>
      <xdr:rowOff>0</xdr:rowOff>
    </xdr:to>
    <xdr:sp macro="" textlink="">
      <xdr:nvSpPr>
        <xdr:cNvPr id="447263" name="月ラベル28">
          <a:extLst>
            <a:ext uri="{FF2B5EF4-FFF2-40B4-BE49-F238E27FC236}">
              <a16:creationId xmlns:a16="http://schemas.microsoft.com/office/drawing/2014/main" id="{1D883189-8747-45B4-1413-E12E662CF4D1}"/>
            </a:ext>
          </a:extLst>
        </xdr:cNvPr>
        <xdr:cNvSpPr/>
      </xdr:nvSpPr>
      <xdr:spPr>
        <a:xfrm>
          <a:off x="14525625" y="0"/>
          <a:ext cx="20669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07/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58</xdr:col>
      <xdr:colOff>0</xdr:colOff>
      <xdr:row>0</xdr:row>
      <xdr:rowOff>0</xdr:rowOff>
    </xdr:from>
    <xdr:to>
      <xdr:col>89</xdr:col>
      <xdr:colOff>0</xdr:colOff>
      <xdr:row>1</xdr:row>
      <xdr:rowOff>0</xdr:rowOff>
    </xdr:to>
    <xdr:sp macro="" textlink="">
      <xdr:nvSpPr>
        <xdr:cNvPr id="447264" name="月ラベル59">
          <a:extLst>
            <a:ext uri="{FF2B5EF4-FFF2-40B4-BE49-F238E27FC236}">
              <a16:creationId xmlns:a16="http://schemas.microsoft.com/office/drawing/2014/main" id="{437AED9F-1EF1-CD33-18AA-D9093BE8B843}"/>
            </a:ext>
          </a:extLst>
        </xdr:cNvPr>
        <xdr:cNvSpPr/>
      </xdr:nvSpPr>
      <xdr:spPr>
        <a:xfrm>
          <a:off x="16592550" y="0"/>
          <a:ext cx="20669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08/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89</xdr:col>
      <xdr:colOff>0</xdr:colOff>
      <xdr:row>0</xdr:row>
      <xdr:rowOff>0</xdr:rowOff>
    </xdr:from>
    <xdr:to>
      <xdr:col>119</xdr:col>
      <xdr:colOff>0</xdr:colOff>
      <xdr:row>1</xdr:row>
      <xdr:rowOff>0</xdr:rowOff>
    </xdr:to>
    <xdr:sp macro="" textlink="">
      <xdr:nvSpPr>
        <xdr:cNvPr id="447265" name="月ラベル90">
          <a:extLst>
            <a:ext uri="{FF2B5EF4-FFF2-40B4-BE49-F238E27FC236}">
              <a16:creationId xmlns:a16="http://schemas.microsoft.com/office/drawing/2014/main" id="{D9D133E1-7596-EB15-7DB2-7DEF2F771F1D}"/>
            </a:ext>
          </a:extLst>
        </xdr:cNvPr>
        <xdr:cNvSpPr/>
      </xdr:nvSpPr>
      <xdr:spPr>
        <a:xfrm>
          <a:off x="18659475" y="0"/>
          <a:ext cx="20002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09/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119</xdr:col>
      <xdr:colOff>0</xdr:colOff>
      <xdr:row>0</xdr:row>
      <xdr:rowOff>0</xdr:rowOff>
    </xdr:from>
    <xdr:to>
      <xdr:col>150</xdr:col>
      <xdr:colOff>0</xdr:colOff>
      <xdr:row>1</xdr:row>
      <xdr:rowOff>0</xdr:rowOff>
    </xdr:to>
    <xdr:sp macro="" textlink="">
      <xdr:nvSpPr>
        <xdr:cNvPr id="447266" name="月ラベル120">
          <a:extLst>
            <a:ext uri="{FF2B5EF4-FFF2-40B4-BE49-F238E27FC236}">
              <a16:creationId xmlns:a16="http://schemas.microsoft.com/office/drawing/2014/main" id="{0217F591-9E2F-A40C-B9E1-43DE9B116448}"/>
            </a:ext>
          </a:extLst>
        </xdr:cNvPr>
        <xdr:cNvSpPr/>
      </xdr:nvSpPr>
      <xdr:spPr>
        <a:xfrm>
          <a:off x="20659725" y="0"/>
          <a:ext cx="20669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10/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150</xdr:col>
      <xdr:colOff>0</xdr:colOff>
      <xdr:row>0</xdr:row>
      <xdr:rowOff>0</xdr:rowOff>
    </xdr:from>
    <xdr:to>
      <xdr:col>180</xdr:col>
      <xdr:colOff>0</xdr:colOff>
      <xdr:row>1</xdr:row>
      <xdr:rowOff>0</xdr:rowOff>
    </xdr:to>
    <xdr:sp macro="" textlink="">
      <xdr:nvSpPr>
        <xdr:cNvPr id="447267" name="月ラベル151">
          <a:extLst>
            <a:ext uri="{FF2B5EF4-FFF2-40B4-BE49-F238E27FC236}">
              <a16:creationId xmlns:a16="http://schemas.microsoft.com/office/drawing/2014/main" id="{DB43217D-80F5-2999-6138-7CE9E5910606}"/>
            </a:ext>
          </a:extLst>
        </xdr:cNvPr>
        <xdr:cNvSpPr/>
      </xdr:nvSpPr>
      <xdr:spPr>
        <a:xfrm>
          <a:off x="22726650" y="0"/>
          <a:ext cx="20002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11/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180</xdr:col>
      <xdr:colOff>0</xdr:colOff>
      <xdr:row>0</xdr:row>
      <xdr:rowOff>0</xdr:rowOff>
    </xdr:from>
    <xdr:to>
      <xdr:col>211</xdr:col>
      <xdr:colOff>0</xdr:colOff>
      <xdr:row>1</xdr:row>
      <xdr:rowOff>0</xdr:rowOff>
    </xdr:to>
    <xdr:sp macro="" textlink="">
      <xdr:nvSpPr>
        <xdr:cNvPr id="447268" name="月ラベル181">
          <a:extLst>
            <a:ext uri="{FF2B5EF4-FFF2-40B4-BE49-F238E27FC236}">
              <a16:creationId xmlns:a16="http://schemas.microsoft.com/office/drawing/2014/main" id="{F1AA4772-E2BA-5931-6D19-58A8943612DE}"/>
            </a:ext>
          </a:extLst>
        </xdr:cNvPr>
        <xdr:cNvSpPr/>
      </xdr:nvSpPr>
      <xdr:spPr>
        <a:xfrm>
          <a:off x="24726900" y="0"/>
          <a:ext cx="20669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12/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29</xdr:col>
      <xdr:colOff>0</xdr:colOff>
      <xdr:row>3</xdr:row>
      <xdr:rowOff>0</xdr:rowOff>
    </xdr:to>
    <xdr:sp macro="" textlink="">
      <xdr:nvSpPr>
        <xdr:cNvPr id="447269" name="週ラベル28">
          <a:extLst>
            <a:ext uri="{FF2B5EF4-FFF2-40B4-BE49-F238E27FC236}">
              <a16:creationId xmlns:a16="http://schemas.microsoft.com/office/drawing/2014/main" id="{4713470B-937E-E19F-C675-824ECB9A726A}"/>
            </a:ext>
          </a:extLst>
        </xdr:cNvPr>
        <xdr:cNvSpPr/>
      </xdr:nvSpPr>
      <xdr:spPr>
        <a:xfrm>
          <a:off x="14525625" y="266700"/>
          <a:ext cx="133350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01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36</xdr:col>
      <xdr:colOff>0</xdr:colOff>
      <xdr:row>3</xdr:row>
      <xdr:rowOff>0</xdr:rowOff>
    </xdr:to>
    <xdr:sp macro="" textlink="">
      <xdr:nvSpPr>
        <xdr:cNvPr id="447270" name="週ラベル30">
          <a:extLst>
            <a:ext uri="{FF2B5EF4-FFF2-40B4-BE49-F238E27FC236}">
              <a16:creationId xmlns:a16="http://schemas.microsoft.com/office/drawing/2014/main" id="{982F46ED-1350-F396-8AF4-1913D98E2687}"/>
            </a:ext>
          </a:extLst>
        </xdr:cNvPr>
        <xdr:cNvSpPr/>
      </xdr:nvSpPr>
      <xdr:spPr>
        <a:xfrm>
          <a:off x="146589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03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36</xdr:col>
      <xdr:colOff>0</xdr:colOff>
      <xdr:row>1</xdr:row>
      <xdr:rowOff>0</xdr:rowOff>
    </xdr:from>
    <xdr:to>
      <xdr:col>43</xdr:col>
      <xdr:colOff>0</xdr:colOff>
      <xdr:row>3</xdr:row>
      <xdr:rowOff>0</xdr:rowOff>
    </xdr:to>
    <xdr:sp macro="" textlink="">
      <xdr:nvSpPr>
        <xdr:cNvPr id="447271" name="週ラベル37">
          <a:extLst>
            <a:ext uri="{FF2B5EF4-FFF2-40B4-BE49-F238E27FC236}">
              <a16:creationId xmlns:a16="http://schemas.microsoft.com/office/drawing/2014/main" id="{F60B730A-1A55-4628-A13D-386F80F2E489}"/>
            </a:ext>
          </a:extLst>
        </xdr:cNvPr>
        <xdr:cNvSpPr/>
      </xdr:nvSpPr>
      <xdr:spPr>
        <a:xfrm>
          <a:off x="151257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10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43</xdr:col>
      <xdr:colOff>0</xdr:colOff>
      <xdr:row>1</xdr:row>
      <xdr:rowOff>0</xdr:rowOff>
    </xdr:from>
    <xdr:to>
      <xdr:col>50</xdr:col>
      <xdr:colOff>0</xdr:colOff>
      <xdr:row>3</xdr:row>
      <xdr:rowOff>0</xdr:rowOff>
    </xdr:to>
    <xdr:sp macro="" textlink="">
      <xdr:nvSpPr>
        <xdr:cNvPr id="447272" name="週ラベル44">
          <a:extLst>
            <a:ext uri="{FF2B5EF4-FFF2-40B4-BE49-F238E27FC236}">
              <a16:creationId xmlns:a16="http://schemas.microsoft.com/office/drawing/2014/main" id="{D4278C50-1BB1-5E29-08F5-D4AD94096F41}"/>
            </a:ext>
          </a:extLst>
        </xdr:cNvPr>
        <xdr:cNvSpPr/>
      </xdr:nvSpPr>
      <xdr:spPr>
        <a:xfrm>
          <a:off x="155924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17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57</xdr:col>
      <xdr:colOff>0</xdr:colOff>
      <xdr:row>3</xdr:row>
      <xdr:rowOff>0</xdr:rowOff>
    </xdr:to>
    <xdr:sp macro="" textlink="">
      <xdr:nvSpPr>
        <xdr:cNvPr id="447273" name="週ラベル51">
          <a:extLst>
            <a:ext uri="{FF2B5EF4-FFF2-40B4-BE49-F238E27FC236}">
              <a16:creationId xmlns:a16="http://schemas.microsoft.com/office/drawing/2014/main" id="{774E5EF2-5EE5-1D38-8A27-4DFDE3C6CDB5}"/>
            </a:ext>
          </a:extLst>
        </xdr:cNvPr>
        <xdr:cNvSpPr/>
      </xdr:nvSpPr>
      <xdr:spPr>
        <a:xfrm>
          <a:off x="160591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24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57</xdr:col>
      <xdr:colOff>0</xdr:colOff>
      <xdr:row>1</xdr:row>
      <xdr:rowOff>0</xdr:rowOff>
    </xdr:from>
    <xdr:to>
      <xdr:col>64</xdr:col>
      <xdr:colOff>0</xdr:colOff>
      <xdr:row>3</xdr:row>
      <xdr:rowOff>0</xdr:rowOff>
    </xdr:to>
    <xdr:sp macro="" textlink="">
      <xdr:nvSpPr>
        <xdr:cNvPr id="447274" name="週ラベル58">
          <a:extLst>
            <a:ext uri="{FF2B5EF4-FFF2-40B4-BE49-F238E27FC236}">
              <a16:creationId xmlns:a16="http://schemas.microsoft.com/office/drawing/2014/main" id="{48D6AEAD-6BF5-0C3E-424C-0982FE2F3D2D}"/>
            </a:ext>
          </a:extLst>
        </xdr:cNvPr>
        <xdr:cNvSpPr/>
      </xdr:nvSpPr>
      <xdr:spPr>
        <a:xfrm>
          <a:off x="165258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31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64</xdr:col>
      <xdr:colOff>0</xdr:colOff>
      <xdr:row>1</xdr:row>
      <xdr:rowOff>0</xdr:rowOff>
    </xdr:from>
    <xdr:to>
      <xdr:col>71</xdr:col>
      <xdr:colOff>0</xdr:colOff>
      <xdr:row>3</xdr:row>
      <xdr:rowOff>0</xdr:rowOff>
    </xdr:to>
    <xdr:sp macro="" textlink="">
      <xdr:nvSpPr>
        <xdr:cNvPr id="447275" name="週ラベル65">
          <a:extLst>
            <a:ext uri="{FF2B5EF4-FFF2-40B4-BE49-F238E27FC236}">
              <a16:creationId xmlns:a16="http://schemas.microsoft.com/office/drawing/2014/main" id="{30BFCCA6-BD68-3F05-E50E-581DADD89B82}"/>
            </a:ext>
          </a:extLst>
        </xdr:cNvPr>
        <xdr:cNvSpPr/>
      </xdr:nvSpPr>
      <xdr:spPr>
        <a:xfrm>
          <a:off x="169926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07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71</xdr:col>
      <xdr:colOff>0</xdr:colOff>
      <xdr:row>1</xdr:row>
      <xdr:rowOff>0</xdr:rowOff>
    </xdr:from>
    <xdr:to>
      <xdr:col>78</xdr:col>
      <xdr:colOff>0</xdr:colOff>
      <xdr:row>3</xdr:row>
      <xdr:rowOff>0</xdr:rowOff>
    </xdr:to>
    <xdr:sp macro="" textlink="">
      <xdr:nvSpPr>
        <xdr:cNvPr id="447276" name="週ラベル72">
          <a:extLst>
            <a:ext uri="{FF2B5EF4-FFF2-40B4-BE49-F238E27FC236}">
              <a16:creationId xmlns:a16="http://schemas.microsoft.com/office/drawing/2014/main" id="{70DE8968-99E2-2738-797B-9E9378482EFD}"/>
            </a:ext>
          </a:extLst>
        </xdr:cNvPr>
        <xdr:cNvSpPr/>
      </xdr:nvSpPr>
      <xdr:spPr>
        <a:xfrm>
          <a:off x="174593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14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78</xdr:col>
      <xdr:colOff>0</xdr:colOff>
      <xdr:row>1</xdr:row>
      <xdr:rowOff>0</xdr:rowOff>
    </xdr:from>
    <xdr:to>
      <xdr:col>85</xdr:col>
      <xdr:colOff>0</xdr:colOff>
      <xdr:row>3</xdr:row>
      <xdr:rowOff>0</xdr:rowOff>
    </xdr:to>
    <xdr:sp macro="" textlink="">
      <xdr:nvSpPr>
        <xdr:cNvPr id="447277" name="週ラベル79">
          <a:extLst>
            <a:ext uri="{FF2B5EF4-FFF2-40B4-BE49-F238E27FC236}">
              <a16:creationId xmlns:a16="http://schemas.microsoft.com/office/drawing/2014/main" id="{17522E55-C2E9-C9CC-5BD3-9FD7E2B1223F}"/>
            </a:ext>
          </a:extLst>
        </xdr:cNvPr>
        <xdr:cNvSpPr/>
      </xdr:nvSpPr>
      <xdr:spPr>
        <a:xfrm>
          <a:off x="179260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21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85</xdr:col>
      <xdr:colOff>0</xdr:colOff>
      <xdr:row>1</xdr:row>
      <xdr:rowOff>0</xdr:rowOff>
    </xdr:from>
    <xdr:to>
      <xdr:col>92</xdr:col>
      <xdr:colOff>0</xdr:colOff>
      <xdr:row>3</xdr:row>
      <xdr:rowOff>0</xdr:rowOff>
    </xdr:to>
    <xdr:sp macro="" textlink="">
      <xdr:nvSpPr>
        <xdr:cNvPr id="447278" name="週ラベル86">
          <a:extLst>
            <a:ext uri="{FF2B5EF4-FFF2-40B4-BE49-F238E27FC236}">
              <a16:creationId xmlns:a16="http://schemas.microsoft.com/office/drawing/2014/main" id="{598279EC-710C-888C-D6E6-277BE7E96E9B}"/>
            </a:ext>
          </a:extLst>
        </xdr:cNvPr>
        <xdr:cNvSpPr/>
      </xdr:nvSpPr>
      <xdr:spPr>
        <a:xfrm>
          <a:off x="183927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28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92</xdr:col>
      <xdr:colOff>0</xdr:colOff>
      <xdr:row>1</xdr:row>
      <xdr:rowOff>0</xdr:rowOff>
    </xdr:from>
    <xdr:to>
      <xdr:col>99</xdr:col>
      <xdr:colOff>0</xdr:colOff>
      <xdr:row>3</xdr:row>
      <xdr:rowOff>0</xdr:rowOff>
    </xdr:to>
    <xdr:sp macro="" textlink="">
      <xdr:nvSpPr>
        <xdr:cNvPr id="447279" name="週ラベル93">
          <a:extLst>
            <a:ext uri="{FF2B5EF4-FFF2-40B4-BE49-F238E27FC236}">
              <a16:creationId xmlns:a16="http://schemas.microsoft.com/office/drawing/2014/main" id="{DB063760-FCB0-2D77-B6AB-7500F53785AA}"/>
            </a:ext>
          </a:extLst>
        </xdr:cNvPr>
        <xdr:cNvSpPr/>
      </xdr:nvSpPr>
      <xdr:spPr>
        <a:xfrm>
          <a:off x="188595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04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99</xdr:col>
      <xdr:colOff>0</xdr:colOff>
      <xdr:row>1</xdr:row>
      <xdr:rowOff>0</xdr:rowOff>
    </xdr:from>
    <xdr:to>
      <xdr:col>106</xdr:col>
      <xdr:colOff>0</xdr:colOff>
      <xdr:row>3</xdr:row>
      <xdr:rowOff>0</xdr:rowOff>
    </xdr:to>
    <xdr:sp macro="" textlink="">
      <xdr:nvSpPr>
        <xdr:cNvPr id="447280" name="週ラベル100">
          <a:extLst>
            <a:ext uri="{FF2B5EF4-FFF2-40B4-BE49-F238E27FC236}">
              <a16:creationId xmlns:a16="http://schemas.microsoft.com/office/drawing/2014/main" id="{36E67EE4-9036-D3E1-B783-4D6134812E17}"/>
            </a:ext>
          </a:extLst>
        </xdr:cNvPr>
        <xdr:cNvSpPr/>
      </xdr:nvSpPr>
      <xdr:spPr>
        <a:xfrm>
          <a:off x="193262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11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106</xdr:col>
      <xdr:colOff>0</xdr:colOff>
      <xdr:row>1</xdr:row>
      <xdr:rowOff>0</xdr:rowOff>
    </xdr:from>
    <xdr:to>
      <xdr:col>113</xdr:col>
      <xdr:colOff>0</xdr:colOff>
      <xdr:row>3</xdr:row>
      <xdr:rowOff>0</xdr:rowOff>
    </xdr:to>
    <xdr:sp macro="" textlink="">
      <xdr:nvSpPr>
        <xdr:cNvPr id="447281" name="週ラベル107">
          <a:extLst>
            <a:ext uri="{FF2B5EF4-FFF2-40B4-BE49-F238E27FC236}">
              <a16:creationId xmlns:a16="http://schemas.microsoft.com/office/drawing/2014/main" id="{B8E0E7CE-0F25-A453-20FE-EF5FE13E85F8}"/>
            </a:ext>
          </a:extLst>
        </xdr:cNvPr>
        <xdr:cNvSpPr/>
      </xdr:nvSpPr>
      <xdr:spPr>
        <a:xfrm>
          <a:off x="197929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18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120</xdr:col>
      <xdr:colOff>0</xdr:colOff>
      <xdr:row>3</xdr:row>
      <xdr:rowOff>0</xdr:rowOff>
    </xdr:to>
    <xdr:sp macro="" textlink="">
      <xdr:nvSpPr>
        <xdr:cNvPr id="447282" name="週ラベル114">
          <a:extLst>
            <a:ext uri="{FF2B5EF4-FFF2-40B4-BE49-F238E27FC236}">
              <a16:creationId xmlns:a16="http://schemas.microsoft.com/office/drawing/2014/main" id="{9FF7D496-6ED0-9C0E-176C-DB14BB9DCE68}"/>
            </a:ext>
          </a:extLst>
        </xdr:cNvPr>
        <xdr:cNvSpPr/>
      </xdr:nvSpPr>
      <xdr:spPr>
        <a:xfrm>
          <a:off x="202596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25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120</xdr:col>
      <xdr:colOff>0</xdr:colOff>
      <xdr:row>1</xdr:row>
      <xdr:rowOff>0</xdr:rowOff>
    </xdr:from>
    <xdr:to>
      <xdr:col>127</xdr:col>
      <xdr:colOff>0</xdr:colOff>
      <xdr:row>3</xdr:row>
      <xdr:rowOff>0</xdr:rowOff>
    </xdr:to>
    <xdr:sp macro="" textlink="">
      <xdr:nvSpPr>
        <xdr:cNvPr id="447283" name="週ラベル121">
          <a:extLst>
            <a:ext uri="{FF2B5EF4-FFF2-40B4-BE49-F238E27FC236}">
              <a16:creationId xmlns:a16="http://schemas.microsoft.com/office/drawing/2014/main" id="{21EDC7B5-3461-0A01-B3FE-4D0F716270B8}"/>
            </a:ext>
          </a:extLst>
        </xdr:cNvPr>
        <xdr:cNvSpPr/>
      </xdr:nvSpPr>
      <xdr:spPr>
        <a:xfrm>
          <a:off x="207264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02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127</xdr:col>
      <xdr:colOff>0</xdr:colOff>
      <xdr:row>1</xdr:row>
      <xdr:rowOff>0</xdr:rowOff>
    </xdr:from>
    <xdr:to>
      <xdr:col>134</xdr:col>
      <xdr:colOff>0</xdr:colOff>
      <xdr:row>3</xdr:row>
      <xdr:rowOff>0</xdr:rowOff>
    </xdr:to>
    <xdr:sp macro="" textlink="">
      <xdr:nvSpPr>
        <xdr:cNvPr id="447284" name="週ラベル128">
          <a:extLst>
            <a:ext uri="{FF2B5EF4-FFF2-40B4-BE49-F238E27FC236}">
              <a16:creationId xmlns:a16="http://schemas.microsoft.com/office/drawing/2014/main" id="{693CFC09-DD98-419A-D1B3-EBA382447D67}"/>
            </a:ext>
          </a:extLst>
        </xdr:cNvPr>
        <xdr:cNvSpPr/>
      </xdr:nvSpPr>
      <xdr:spPr>
        <a:xfrm>
          <a:off x="211931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09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134</xdr:col>
      <xdr:colOff>0</xdr:colOff>
      <xdr:row>1</xdr:row>
      <xdr:rowOff>0</xdr:rowOff>
    </xdr:from>
    <xdr:to>
      <xdr:col>141</xdr:col>
      <xdr:colOff>0</xdr:colOff>
      <xdr:row>3</xdr:row>
      <xdr:rowOff>0</xdr:rowOff>
    </xdr:to>
    <xdr:sp macro="" textlink="">
      <xdr:nvSpPr>
        <xdr:cNvPr id="447285" name="週ラベル135">
          <a:extLst>
            <a:ext uri="{FF2B5EF4-FFF2-40B4-BE49-F238E27FC236}">
              <a16:creationId xmlns:a16="http://schemas.microsoft.com/office/drawing/2014/main" id="{7C5B1022-E81B-3042-458F-D099B4163416}"/>
            </a:ext>
          </a:extLst>
        </xdr:cNvPr>
        <xdr:cNvSpPr/>
      </xdr:nvSpPr>
      <xdr:spPr>
        <a:xfrm>
          <a:off x="216598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16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141</xdr:col>
      <xdr:colOff>0</xdr:colOff>
      <xdr:row>1</xdr:row>
      <xdr:rowOff>0</xdr:rowOff>
    </xdr:from>
    <xdr:to>
      <xdr:col>148</xdr:col>
      <xdr:colOff>0</xdr:colOff>
      <xdr:row>3</xdr:row>
      <xdr:rowOff>0</xdr:rowOff>
    </xdr:to>
    <xdr:sp macro="" textlink="">
      <xdr:nvSpPr>
        <xdr:cNvPr id="447286" name="週ラベル142">
          <a:extLst>
            <a:ext uri="{FF2B5EF4-FFF2-40B4-BE49-F238E27FC236}">
              <a16:creationId xmlns:a16="http://schemas.microsoft.com/office/drawing/2014/main" id="{DBD77FC2-5D94-C2E8-98F1-3344E3AEC601}"/>
            </a:ext>
          </a:extLst>
        </xdr:cNvPr>
        <xdr:cNvSpPr/>
      </xdr:nvSpPr>
      <xdr:spPr>
        <a:xfrm>
          <a:off x="221265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23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148</xdr:col>
      <xdr:colOff>0</xdr:colOff>
      <xdr:row>1</xdr:row>
      <xdr:rowOff>0</xdr:rowOff>
    </xdr:from>
    <xdr:to>
      <xdr:col>155</xdr:col>
      <xdr:colOff>0</xdr:colOff>
      <xdr:row>3</xdr:row>
      <xdr:rowOff>0</xdr:rowOff>
    </xdr:to>
    <xdr:sp macro="" textlink="">
      <xdr:nvSpPr>
        <xdr:cNvPr id="447287" name="週ラベル149">
          <a:extLst>
            <a:ext uri="{FF2B5EF4-FFF2-40B4-BE49-F238E27FC236}">
              <a16:creationId xmlns:a16="http://schemas.microsoft.com/office/drawing/2014/main" id="{CA600B87-B0AC-E8C6-FCB1-6532F5A13860}"/>
            </a:ext>
          </a:extLst>
        </xdr:cNvPr>
        <xdr:cNvSpPr/>
      </xdr:nvSpPr>
      <xdr:spPr>
        <a:xfrm>
          <a:off x="225933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30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155</xdr:col>
      <xdr:colOff>0</xdr:colOff>
      <xdr:row>1</xdr:row>
      <xdr:rowOff>0</xdr:rowOff>
    </xdr:from>
    <xdr:to>
      <xdr:col>162</xdr:col>
      <xdr:colOff>0</xdr:colOff>
      <xdr:row>3</xdr:row>
      <xdr:rowOff>0</xdr:rowOff>
    </xdr:to>
    <xdr:sp macro="" textlink="">
      <xdr:nvSpPr>
        <xdr:cNvPr id="447288" name="週ラベル156">
          <a:extLst>
            <a:ext uri="{FF2B5EF4-FFF2-40B4-BE49-F238E27FC236}">
              <a16:creationId xmlns:a16="http://schemas.microsoft.com/office/drawing/2014/main" id="{2352642B-F442-42D5-5F71-59FD3DD9CBD1}"/>
            </a:ext>
          </a:extLst>
        </xdr:cNvPr>
        <xdr:cNvSpPr/>
      </xdr:nvSpPr>
      <xdr:spPr>
        <a:xfrm>
          <a:off x="230600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06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162</xdr:col>
      <xdr:colOff>0</xdr:colOff>
      <xdr:row>1</xdr:row>
      <xdr:rowOff>0</xdr:rowOff>
    </xdr:from>
    <xdr:to>
      <xdr:col>169</xdr:col>
      <xdr:colOff>0</xdr:colOff>
      <xdr:row>3</xdr:row>
      <xdr:rowOff>0</xdr:rowOff>
    </xdr:to>
    <xdr:sp macro="" textlink="">
      <xdr:nvSpPr>
        <xdr:cNvPr id="447289" name="週ラベル163">
          <a:extLst>
            <a:ext uri="{FF2B5EF4-FFF2-40B4-BE49-F238E27FC236}">
              <a16:creationId xmlns:a16="http://schemas.microsoft.com/office/drawing/2014/main" id="{05A32DF4-AFC8-0B92-F270-67A27FFA5E26}"/>
            </a:ext>
          </a:extLst>
        </xdr:cNvPr>
        <xdr:cNvSpPr/>
      </xdr:nvSpPr>
      <xdr:spPr>
        <a:xfrm>
          <a:off x="235267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13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169</xdr:col>
      <xdr:colOff>0</xdr:colOff>
      <xdr:row>1</xdr:row>
      <xdr:rowOff>0</xdr:rowOff>
    </xdr:from>
    <xdr:to>
      <xdr:col>176</xdr:col>
      <xdr:colOff>0</xdr:colOff>
      <xdr:row>3</xdr:row>
      <xdr:rowOff>0</xdr:rowOff>
    </xdr:to>
    <xdr:sp macro="" textlink="">
      <xdr:nvSpPr>
        <xdr:cNvPr id="447290" name="週ラベル170">
          <a:extLst>
            <a:ext uri="{FF2B5EF4-FFF2-40B4-BE49-F238E27FC236}">
              <a16:creationId xmlns:a16="http://schemas.microsoft.com/office/drawing/2014/main" id="{A1BB55D7-487D-B1D9-1E97-C27809086C66}"/>
            </a:ext>
          </a:extLst>
        </xdr:cNvPr>
        <xdr:cNvSpPr/>
      </xdr:nvSpPr>
      <xdr:spPr>
        <a:xfrm>
          <a:off x="239934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20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176</xdr:col>
      <xdr:colOff>0</xdr:colOff>
      <xdr:row>1</xdr:row>
      <xdr:rowOff>0</xdr:rowOff>
    </xdr:from>
    <xdr:to>
      <xdr:col>183</xdr:col>
      <xdr:colOff>0</xdr:colOff>
      <xdr:row>3</xdr:row>
      <xdr:rowOff>0</xdr:rowOff>
    </xdr:to>
    <xdr:sp macro="" textlink="">
      <xdr:nvSpPr>
        <xdr:cNvPr id="447291" name="週ラベル177">
          <a:extLst>
            <a:ext uri="{FF2B5EF4-FFF2-40B4-BE49-F238E27FC236}">
              <a16:creationId xmlns:a16="http://schemas.microsoft.com/office/drawing/2014/main" id="{685C2906-162E-8353-BF97-3D471D6DC646}"/>
            </a:ext>
          </a:extLst>
        </xdr:cNvPr>
        <xdr:cNvSpPr/>
      </xdr:nvSpPr>
      <xdr:spPr>
        <a:xfrm>
          <a:off x="244602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27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183</xdr:col>
      <xdr:colOff>0</xdr:colOff>
      <xdr:row>1</xdr:row>
      <xdr:rowOff>0</xdr:rowOff>
    </xdr:from>
    <xdr:to>
      <xdr:col>190</xdr:col>
      <xdr:colOff>0</xdr:colOff>
      <xdr:row>3</xdr:row>
      <xdr:rowOff>0</xdr:rowOff>
    </xdr:to>
    <xdr:sp macro="" textlink="">
      <xdr:nvSpPr>
        <xdr:cNvPr id="447292" name="週ラベル184">
          <a:extLst>
            <a:ext uri="{FF2B5EF4-FFF2-40B4-BE49-F238E27FC236}">
              <a16:creationId xmlns:a16="http://schemas.microsoft.com/office/drawing/2014/main" id="{CF71254C-E411-C7EC-7180-C30C9B8D5D62}"/>
            </a:ext>
          </a:extLst>
        </xdr:cNvPr>
        <xdr:cNvSpPr/>
      </xdr:nvSpPr>
      <xdr:spPr>
        <a:xfrm>
          <a:off x="2492692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04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190</xdr:col>
      <xdr:colOff>0</xdr:colOff>
      <xdr:row>1</xdr:row>
      <xdr:rowOff>0</xdr:rowOff>
    </xdr:from>
    <xdr:to>
      <xdr:col>197</xdr:col>
      <xdr:colOff>0</xdr:colOff>
      <xdr:row>3</xdr:row>
      <xdr:rowOff>0</xdr:rowOff>
    </xdr:to>
    <xdr:sp macro="" textlink="">
      <xdr:nvSpPr>
        <xdr:cNvPr id="447293" name="週ラベル191">
          <a:extLst>
            <a:ext uri="{FF2B5EF4-FFF2-40B4-BE49-F238E27FC236}">
              <a16:creationId xmlns:a16="http://schemas.microsoft.com/office/drawing/2014/main" id="{31456D56-AB5F-8D2E-EF5F-E4D709D1FAC1}"/>
            </a:ext>
          </a:extLst>
        </xdr:cNvPr>
        <xdr:cNvSpPr/>
      </xdr:nvSpPr>
      <xdr:spPr>
        <a:xfrm>
          <a:off x="2539365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11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197</xdr:col>
      <xdr:colOff>0</xdr:colOff>
      <xdr:row>1</xdr:row>
      <xdr:rowOff>0</xdr:rowOff>
    </xdr:from>
    <xdr:to>
      <xdr:col>204</xdr:col>
      <xdr:colOff>0</xdr:colOff>
      <xdr:row>3</xdr:row>
      <xdr:rowOff>0</xdr:rowOff>
    </xdr:to>
    <xdr:sp macro="" textlink="">
      <xdr:nvSpPr>
        <xdr:cNvPr id="447294" name="週ラベル198">
          <a:extLst>
            <a:ext uri="{FF2B5EF4-FFF2-40B4-BE49-F238E27FC236}">
              <a16:creationId xmlns:a16="http://schemas.microsoft.com/office/drawing/2014/main" id="{D7A5D223-10B9-346B-E2D6-16B475CCB211}"/>
            </a:ext>
          </a:extLst>
        </xdr:cNvPr>
        <xdr:cNvSpPr/>
      </xdr:nvSpPr>
      <xdr:spPr>
        <a:xfrm>
          <a:off x="25860375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18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204</xdr:col>
      <xdr:colOff>0</xdr:colOff>
      <xdr:row>1</xdr:row>
      <xdr:rowOff>0</xdr:rowOff>
    </xdr:from>
    <xdr:to>
      <xdr:col>211</xdr:col>
      <xdr:colOff>0</xdr:colOff>
      <xdr:row>3</xdr:row>
      <xdr:rowOff>0</xdr:rowOff>
    </xdr:to>
    <xdr:sp macro="" textlink="">
      <xdr:nvSpPr>
        <xdr:cNvPr id="447295" name="週ラベル205">
          <a:extLst>
            <a:ext uri="{FF2B5EF4-FFF2-40B4-BE49-F238E27FC236}">
              <a16:creationId xmlns:a16="http://schemas.microsoft.com/office/drawing/2014/main" id="{19A1A525-8A1A-6524-EDA3-FA64F4C1ECEE}"/>
            </a:ext>
          </a:extLst>
        </xdr:cNvPr>
        <xdr:cNvSpPr/>
      </xdr:nvSpPr>
      <xdr:spPr>
        <a:xfrm>
          <a:off x="26327100" y="266700"/>
          <a:ext cx="466725" cy="91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kumimoji="1" lang="en-US" altLang="ja-JP" sz="1100" kern="12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25</a:t>
          </a:r>
          <a:endParaRPr kumimoji="1" lang="ja-JP" altLang="en-US" sz="1100" kern="12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</a:endParaRPr>
        </a:p>
      </xdr:txBody>
    </xdr:sp>
    <xdr:clientData/>
  </xdr:twoCellAnchor>
  <xdr:twoCellAnchor>
    <xdr:from>
      <xdr:col>55</xdr:col>
      <xdr:colOff>3175</xdr:colOff>
      <xdr:row>2</xdr:row>
      <xdr:rowOff>0</xdr:rowOff>
    </xdr:from>
    <xdr:to>
      <xdr:col>56</xdr:col>
      <xdr:colOff>63500</xdr:colOff>
      <xdr:row>3</xdr:row>
      <xdr:rowOff>0</xdr:rowOff>
    </xdr:to>
    <xdr:sp macro="" textlink="">
      <xdr:nvSpPr>
        <xdr:cNvPr id="447296" name="雷線START">
          <a:extLst>
            <a:ext uri="{FF2B5EF4-FFF2-40B4-BE49-F238E27FC236}">
              <a16:creationId xmlns:a16="http://schemas.microsoft.com/office/drawing/2014/main" id="{4D44F361-3B69-B0F4-CAA0-7D834B2474E5}"/>
            </a:ext>
          </a:extLst>
        </xdr:cNvPr>
        <xdr:cNvSpPr/>
      </xdr:nvSpPr>
      <xdr:spPr>
        <a:xfrm flipV="1">
          <a:off x="16395700" y="952500"/>
          <a:ext cx="127000" cy="228600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56</xdr:col>
      <xdr:colOff>0</xdr:colOff>
      <xdr:row>5</xdr:row>
      <xdr:rowOff>0</xdr:rowOff>
    </xdr:to>
    <xdr:cxnSp macro="">
      <xdr:nvCxnSpPr>
        <xdr:cNvPr id="447301" name="基準線2">
          <a:extLst>
            <a:ext uri="{FF2B5EF4-FFF2-40B4-BE49-F238E27FC236}">
              <a16:creationId xmlns:a16="http://schemas.microsoft.com/office/drawing/2014/main" id="{C4855148-75B0-933C-4145-D4589F863166}"/>
            </a:ext>
          </a:extLst>
        </xdr:cNvPr>
        <xdr:cNvCxnSpPr/>
      </xdr:nvCxnSpPr>
      <xdr:spPr>
        <a:xfrm>
          <a:off x="16459200" y="14192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4</xdr:row>
      <xdr:rowOff>0</xdr:rowOff>
    </xdr:from>
    <xdr:to>
      <xdr:col>56</xdr:col>
      <xdr:colOff>0</xdr:colOff>
      <xdr:row>4</xdr:row>
      <xdr:rowOff>119063</xdr:rowOff>
    </xdr:to>
    <xdr:cxnSp macro="">
      <xdr:nvCxnSpPr>
        <xdr:cNvPr id="447303" name="雷線上2">
          <a:extLst>
            <a:ext uri="{FF2B5EF4-FFF2-40B4-BE49-F238E27FC236}">
              <a16:creationId xmlns:a16="http://schemas.microsoft.com/office/drawing/2014/main" id="{A4E6827E-EE63-1F53-3869-87D2F8E9ADD8}"/>
            </a:ext>
          </a:extLst>
        </xdr:cNvPr>
        <xdr:cNvCxnSpPr/>
      </xdr:nvCxnSpPr>
      <xdr:spPr>
        <a:xfrm flipH="1">
          <a:off x="15259050" y="1419225"/>
          <a:ext cx="120015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4</xdr:row>
      <xdr:rowOff>119063</xdr:rowOff>
    </xdr:from>
    <xdr:to>
      <xdr:col>56</xdr:col>
      <xdr:colOff>0</xdr:colOff>
      <xdr:row>5</xdr:row>
      <xdr:rowOff>0</xdr:rowOff>
    </xdr:to>
    <xdr:cxnSp macro="">
      <xdr:nvCxnSpPr>
        <xdr:cNvPr id="447304" name="雷線下2">
          <a:extLst>
            <a:ext uri="{FF2B5EF4-FFF2-40B4-BE49-F238E27FC236}">
              <a16:creationId xmlns:a16="http://schemas.microsoft.com/office/drawing/2014/main" id="{751BF20F-453B-7C2F-78CD-14D50CAC808F}"/>
            </a:ext>
          </a:extLst>
        </xdr:cNvPr>
        <xdr:cNvCxnSpPr/>
      </xdr:nvCxnSpPr>
      <xdr:spPr>
        <a:xfrm>
          <a:off x="15259050" y="1538288"/>
          <a:ext cx="120015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</xdr:row>
      <xdr:rowOff>0</xdr:rowOff>
    </xdr:from>
    <xdr:to>
      <xdr:col>56</xdr:col>
      <xdr:colOff>0</xdr:colOff>
      <xdr:row>4</xdr:row>
      <xdr:rowOff>0</xdr:rowOff>
    </xdr:to>
    <xdr:cxnSp macro="">
      <xdr:nvCxnSpPr>
        <xdr:cNvPr id="447309" name="基準線1">
          <a:extLst>
            <a:ext uri="{FF2B5EF4-FFF2-40B4-BE49-F238E27FC236}">
              <a16:creationId xmlns:a16="http://schemas.microsoft.com/office/drawing/2014/main" id="{4EEAE3B6-F702-03CE-8328-37519743CF5F}"/>
            </a:ext>
          </a:extLst>
        </xdr:cNvPr>
        <xdr:cNvCxnSpPr/>
      </xdr:nvCxnSpPr>
      <xdr:spPr>
        <a:xfrm>
          <a:off x="16459200" y="1181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</xdr:row>
      <xdr:rowOff>0</xdr:rowOff>
    </xdr:from>
    <xdr:to>
      <xdr:col>56</xdr:col>
      <xdr:colOff>0</xdr:colOff>
      <xdr:row>3</xdr:row>
      <xdr:rowOff>114300</xdr:rowOff>
    </xdr:to>
    <xdr:cxnSp macro="">
      <xdr:nvCxnSpPr>
        <xdr:cNvPr id="447311" name="雷線上1">
          <a:extLst>
            <a:ext uri="{FF2B5EF4-FFF2-40B4-BE49-F238E27FC236}">
              <a16:creationId xmlns:a16="http://schemas.microsoft.com/office/drawing/2014/main" id="{E638B1D4-0891-04A7-D819-F6F7B2E9AE4B}"/>
            </a:ext>
          </a:extLst>
        </xdr:cNvPr>
        <xdr:cNvCxnSpPr/>
      </xdr:nvCxnSpPr>
      <xdr:spPr>
        <a:xfrm flipH="1">
          <a:off x="15259050" y="1181100"/>
          <a:ext cx="120015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</xdr:row>
      <xdr:rowOff>114300</xdr:rowOff>
    </xdr:from>
    <xdr:to>
      <xdr:col>56</xdr:col>
      <xdr:colOff>0</xdr:colOff>
      <xdr:row>4</xdr:row>
      <xdr:rowOff>0</xdr:rowOff>
    </xdr:to>
    <xdr:cxnSp macro="">
      <xdr:nvCxnSpPr>
        <xdr:cNvPr id="447312" name="雷線下1">
          <a:extLst>
            <a:ext uri="{FF2B5EF4-FFF2-40B4-BE49-F238E27FC236}">
              <a16:creationId xmlns:a16="http://schemas.microsoft.com/office/drawing/2014/main" id="{E8DEBA8E-9FF3-8DA7-BBD4-9D0096CF0991}"/>
            </a:ext>
          </a:extLst>
        </xdr:cNvPr>
        <xdr:cNvCxnSpPr/>
      </xdr:nvCxnSpPr>
      <xdr:spPr>
        <a:xfrm>
          <a:off x="15259050" y="1295400"/>
          <a:ext cx="120015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6</xdr:row>
      <xdr:rowOff>0</xdr:rowOff>
    </xdr:from>
    <xdr:to>
      <xdr:col>56</xdr:col>
      <xdr:colOff>0</xdr:colOff>
      <xdr:row>7</xdr:row>
      <xdr:rowOff>0</xdr:rowOff>
    </xdr:to>
    <xdr:cxnSp macro="">
      <xdr:nvCxnSpPr>
        <xdr:cNvPr id="447313" name="基準線4">
          <a:extLst>
            <a:ext uri="{FF2B5EF4-FFF2-40B4-BE49-F238E27FC236}">
              <a16:creationId xmlns:a16="http://schemas.microsoft.com/office/drawing/2014/main" id="{0D090D54-3742-E7B3-1A02-74918A384748}"/>
            </a:ext>
          </a:extLst>
        </xdr:cNvPr>
        <xdr:cNvCxnSpPr/>
      </xdr:nvCxnSpPr>
      <xdr:spPr>
        <a:xfrm>
          <a:off x="16459200" y="18859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</xdr:row>
      <xdr:rowOff>0</xdr:rowOff>
    </xdr:from>
    <xdr:to>
      <xdr:col>56</xdr:col>
      <xdr:colOff>0</xdr:colOff>
      <xdr:row>6</xdr:row>
      <xdr:rowOff>119063</xdr:rowOff>
    </xdr:to>
    <xdr:cxnSp macro="">
      <xdr:nvCxnSpPr>
        <xdr:cNvPr id="447315" name="雷線上4">
          <a:extLst>
            <a:ext uri="{FF2B5EF4-FFF2-40B4-BE49-F238E27FC236}">
              <a16:creationId xmlns:a16="http://schemas.microsoft.com/office/drawing/2014/main" id="{E24D74C6-FD6B-1F12-87D4-7AA9D01477BC}"/>
            </a:ext>
          </a:extLst>
        </xdr:cNvPr>
        <xdr:cNvCxnSpPr/>
      </xdr:nvCxnSpPr>
      <xdr:spPr>
        <a:xfrm flipH="1">
          <a:off x="15259050" y="1885950"/>
          <a:ext cx="120015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</xdr:row>
      <xdr:rowOff>119063</xdr:rowOff>
    </xdr:from>
    <xdr:to>
      <xdr:col>56</xdr:col>
      <xdr:colOff>0</xdr:colOff>
      <xdr:row>7</xdr:row>
      <xdr:rowOff>0</xdr:rowOff>
    </xdr:to>
    <xdr:cxnSp macro="">
      <xdr:nvCxnSpPr>
        <xdr:cNvPr id="447316" name="雷線下4">
          <a:extLst>
            <a:ext uri="{FF2B5EF4-FFF2-40B4-BE49-F238E27FC236}">
              <a16:creationId xmlns:a16="http://schemas.microsoft.com/office/drawing/2014/main" id="{A429C47E-9914-6905-C278-6C1A06393BBF}"/>
            </a:ext>
          </a:extLst>
        </xdr:cNvPr>
        <xdr:cNvCxnSpPr/>
      </xdr:nvCxnSpPr>
      <xdr:spPr>
        <a:xfrm>
          <a:off x="15259050" y="2005013"/>
          <a:ext cx="120015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7</xdr:row>
      <xdr:rowOff>0</xdr:rowOff>
    </xdr:from>
    <xdr:to>
      <xdr:col>56</xdr:col>
      <xdr:colOff>0</xdr:colOff>
      <xdr:row>8</xdr:row>
      <xdr:rowOff>0</xdr:rowOff>
    </xdr:to>
    <xdr:cxnSp macro="">
      <xdr:nvCxnSpPr>
        <xdr:cNvPr id="447317" name="基準線5">
          <a:extLst>
            <a:ext uri="{FF2B5EF4-FFF2-40B4-BE49-F238E27FC236}">
              <a16:creationId xmlns:a16="http://schemas.microsoft.com/office/drawing/2014/main" id="{B0283A79-72F4-A905-BB78-8233F7D23BED}"/>
            </a:ext>
          </a:extLst>
        </xdr:cNvPr>
        <xdr:cNvCxnSpPr/>
      </xdr:nvCxnSpPr>
      <xdr:spPr>
        <a:xfrm>
          <a:off x="16459200" y="21240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7</xdr:row>
      <xdr:rowOff>0</xdr:rowOff>
    </xdr:from>
    <xdr:to>
      <xdr:col>56</xdr:col>
      <xdr:colOff>0</xdr:colOff>
      <xdr:row>7</xdr:row>
      <xdr:rowOff>119063</xdr:rowOff>
    </xdr:to>
    <xdr:cxnSp macro="">
      <xdr:nvCxnSpPr>
        <xdr:cNvPr id="447319" name="雷線上5">
          <a:extLst>
            <a:ext uri="{FF2B5EF4-FFF2-40B4-BE49-F238E27FC236}">
              <a16:creationId xmlns:a16="http://schemas.microsoft.com/office/drawing/2014/main" id="{2B5DEE63-65AD-BFCD-70A3-EFFD505ECD80}"/>
            </a:ext>
          </a:extLst>
        </xdr:cNvPr>
        <xdr:cNvCxnSpPr/>
      </xdr:nvCxnSpPr>
      <xdr:spPr>
        <a:xfrm flipH="1">
          <a:off x="15259050" y="2124075"/>
          <a:ext cx="120015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7</xdr:row>
      <xdr:rowOff>119063</xdr:rowOff>
    </xdr:from>
    <xdr:to>
      <xdr:col>56</xdr:col>
      <xdr:colOff>0</xdr:colOff>
      <xdr:row>8</xdr:row>
      <xdr:rowOff>0</xdr:rowOff>
    </xdr:to>
    <xdr:cxnSp macro="">
      <xdr:nvCxnSpPr>
        <xdr:cNvPr id="447320" name="雷線下5">
          <a:extLst>
            <a:ext uri="{FF2B5EF4-FFF2-40B4-BE49-F238E27FC236}">
              <a16:creationId xmlns:a16="http://schemas.microsoft.com/office/drawing/2014/main" id="{74663CE8-95A6-7589-C1AE-8F4AEF5410B0}"/>
            </a:ext>
          </a:extLst>
        </xdr:cNvPr>
        <xdr:cNvCxnSpPr/>
      </xdr:nvCxnSpPr>
      <xdr:spPr>
        <a:xfrm>
          <a:off x="15259050" y="2243138"/>
          <a:ext cx="120015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8</xdr:row>
      <xdr:rowOff>0</xdr:rowOff>
    </xdr:from>
    <xdr:to>
      <xdr:col>56</xdr:col>
      <xdr:colOff>0</xdr:colOff>
      <xdr:row>9</xdr:row>
      <xdr:rowOff>0</xdr:rowOff>
    </xdr:to>
    <xdr:cxnSp macro="">
      <xdr:nvCxnSpPr>
        <xdr:cNvPr id="447321" name="基準線6">
          <a:extLst>
            <a:ext uri="{FF2B5EF4-FFF2-40B4-BE49-F238E27FC236}">
              <a16:creationId xmlns:a16="http://schemas.microsoft.com/office/drawing/2014/main" id="{6E407649-1C02-E07F-9BCC-F3308D861C88}"/>
            </a:ext>
          </a:extLst>
        </xdr:cNvPr>
        <xdr:cNvCxnSpPr/>
      </xdr:nvCxnSpPr>
      <xdr:spPr>
        <a:xfrm>
          <a:off x="16459200" y="23622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8</xdr:row>
      <xdr:rowOff>0</xdr:rowOff>
    </xdr:from>
    <xdr:to>
      <xdr:col>56</xdr:col>
      <xdr:colOff>0</xdr:colOff>
      <xdr:row>8</xdr:row>
      <xdr:rowOff>119063</xdr:rowOff>
    </xdr:to>
    <xdr:cxnSp macro="">
      <xdr:nvCxnSpPr>
        <xdr:cNvPr id="447323" name="雷線上6">
          <a:extLst>
            <a:ext uri="{FF2B5EF4-FFF2-40B4-BE49-F238E27FC236}">
              <a16:creationId xmlns:a16="http://schemas.microsoft.com/office/drawing/2014/main" id="{FBCE5471-EE56-2570-A582-893307ABF12E}"/>
            </a:ext>
          </a:extLst>
        </xdr:cNvPr>
        <xdr:cNvCxnSpPr/>
      </xdr:nvCxnSpPr>
      <xdr:spPr>
        <a:xfrm flipH="1">
          <a:off x="14525625" y="2362200"/>
          <a:ext cx="1933575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8</xdr:row>
      <xdr:rowOff>119063</xdr:rowOff>
    </xdr:from>
    <xdr:to>
      <xdr:col>56</xdr:col>
      <xdr:colOff>0</xdr:colOff>
      <xdr:row>9</xdr:row>
      <xdr:rowOff>0</xdr:rowOff>
    </xdr:to>
    <xdr:cxnSp macro="">
      <xdr:nvCxnSpPr>
        <xdr:cNvPr id="447324" name="雷線下6">
          <a:extLst>
            <a:ext uri="{FF2B5EF4-FFF2-40B4-BE49-F238E27FC236}">
              <a16:creationId xmlns:a16="http://schemas.microsoft.com/office/drawing/2014/main" id="{E7495372-907D-BBB4-362A-8D49B38F6752}"/>
            </a:ext>
          </a:extLst>
        </xdr:cNvPr>
        <xdr:cNvCxnSpPr/>
      </xdr:nvCxnSpPr>
      <xdr:spPr>
        <a:xfrm>
          <a:off x="14525625" y="2481263"/>
          <a:ext cx="1933575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9</xdr:row>
      <xdr:rowOff>0</xdr:rowOff>
    </xdr:from>
    <xdr:to>
      <xdr:col>56</xdr:col>
      <xdr:colOff>0</xdr:colOff>
      <xdr:row>10</xdr:row>
      <xdr:rowOff>0</xdr:rowOff>
    </xdr:to>
    <xdr:cxnSp macro="">
      <xdr:nvCxnSpPr>
        <xdr:cNvPr id="447325" name="基準線7">
          <a:extLst>
            <a:ext uri="{FF2B5EF4-FFF2-40B4-BE49-F238E27FC236}">
              <a16:creationId xmlns:a16="http://schemas.microsoft.com/office/drawing/2014/main" id="{998860C1-95C6-FD51-3787-9E2C9282D785}"/>
            </a:ext>
          </a:extLst>
        </xdr:cNvPr>
        <xdr:cNvCxnSpPr/>
      </xdr:nvCxnSpPr>
      <xdr:spPr>
        <a:xfrm>
          <a:off x="16459200" y="26003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9</xdr:row>
      <xdr:rowOff>0</xdr:rowOff>
    </xdr:from>
    <xdr:to>
      <xdr:col>57</xdr:col>
      <xdr:colOff>0</xdr:colOff>
      <xdr:row>9</xdr:row>
      <xdr:rowOff>119063</xdr:rowOff>
    </xdr:to>
    <xdr:cxnSp macro="">
      <xdr:nvCxnSpPr>
        <xdr:cNvPr id="447327" name="雷線上7">
          <a:extLst>
            <a:ext uri="{FF2B5EF4-FFF2-40B4-BE49-F238E27FC236}">
              <a16:creationId xmlns:a16="http://schemas.microsoft.com/office/drawing/2014/main" id="{0DFF2F15-080A-9557-3265-BDBC4A480269}"/>
            </a:ext>
          </a:extLst>
        </xdr:cNvPr>
        <xdr:cNvCxnSpPr/>
      </xdr:nvCxnSpPr>
      <xdr:spPr>
        <a:xfrm>
          <a:off x="16459200" y="2600325"/>
          <a:ext cx="66675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9</xdr:row>
      <xdr:rowOff>119063</xdr:rowOff>
    </xdr:from>
    <xdr:to>
      <xdr:col>57</xdr:col>
      <xdr:colOff>0</xdr:colOff>
      <xdr:row>10</xdr:row>
      <xdr:rowOff>0</xdr:rowOff>
    </xdr:to>
    <xdr:cxnSp macro="">
      <xdr:nvCxnSpPr>
        <xdr:cNvPr id="447328" name="雷線下7">
          <a:extLst>
            <a:ext uri="{FF2B5EF4-FFF2-40B4-BE49-F238E27FC236}">
              <a16:creationId xmlns:a16="http://schemas.microsoft.com/office/drawing/2014/main" id="{4518D6B3-37E8-784B-E006-1CF23FE87072}"/>
            </a:ext>
          </a:extLst>
        </xdr:cNvPr>
        <xdr:cNvCxnSpPr/>
      </xdr:nvCxnSpPr>
      <xdr:spPr>
        <a:xfrm flipH="1">
          <a:off x="16459200" y="2719388"/>
          <a:ext cx="66675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10</xdr:row>
      <xdr:rowOff>0</xdr:rowOff>
    </xdr:from>
    <xdr:to>
      <xdr:col>56</xdr:col>
      <xdr:colOff>0</xdr:colOff>
      <xdr:row>11</xdr:row>
      <xdr:rowOff>0</xdr:rowOff>
    </xdr:to>
    <xdr:cxnSp macro="">
      <xdr:nvCxnSpPr>
        <xdr:cNvPr id="447329" name="基準線8">
          <a:extLst>
            <a:ext uri="{FF2B5EF4-FFF2-40B4-BE49-F238E27FC236}">
              <a16:creationId xmlns:a16="http://schemas.microsoft.com/office/drawing/2014/main" id="{C18F568B-79CA-9BC3-7087-C2B05541FA50}"/>
            </a:ext>
          </a:extLst>
        </xdr:cNvPr>
        <xdr:cNvCxnSpPr/>
      </xdr:nvCxnSpPr>
      <xdr:spPr>
        <a:xfrm>
          <a:off x="16459200" y="28384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10</xdr:row>
      <xdr:rowOff>0</xdr:rowOff>
    </xdr:from>
    <xdr:to>
      <xdr:col>56</xdr:col>
      <xdr:colOff>0</xdr:colOff>
      <xdr:row>11</xdr:row>
      <xdr:rowOff>0</xdr:rowOff>
    </xdr:to>
    <xdr:cxnSp macro="">
      <xdr:nvCxnSpPr>
        <xdr:cNvPr id="447330" name="雷線8">
          <a:extLst>
            <a:ext uri="{FF2B5EF4-FFF2-40B4-BE49-F238E27FC236}">
              <a16:creationId xmlns:a16="http://schemas.microsoft.com/office/drawing/2014/main" id="{2C03091E-3BC7-EC85-EF55-A05028D3450B}"/>
            </a:ext>
          </a:extLst>
        </xdr:cNvPr>
        <xdr:cNvCxnSpPr/>
      </xdr:nvCxnSpPr>
      <xdr:spPr>
        <a:xfrm>
          <a:off x="16459200" y="283845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5</xdr:row>
      <xdr:rowOff>0</xdr:rowOff>
    </xdr:from>
    <xdr:to>
      <xdr:col>56</xdr:col>
      <xdr:colOff>0</xdr:colOff>
      <xdr:row>6</xdr:row>
      <xdr:rowOff>0</xdr:rowOff>
    </xdr:to>
    <xdr:cxnSp macro="">
      <xdr:nvCxnSpPr>
        <xdr:cNvPr id="447331" name="基準線3">
          <a:extLst>
            <a:ext uri="{FF2B5EF4-FFF2-40B4-BE49-F238E27FC236}">
              <a16:creationId xmlns:a16="http://schemas.microsoft.com/office/drawing/2014/main" id="{445719A3-2D62-E197-76CF-4ECDAA059901}"/>
            </a:ext>
          </a:extLst>
        </xdr:cNvPr>
        <xdr:cNvCxnSpPr/>
      </xdr:nvCxnSpPr>
      <xdr:spPr>
        <a:xfrm>
          <a:off x="16459200" y="1647825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3883</xdr:colOff>
      <xdr:row>5</xdr:row>
      <xdr:rowOff>0</xdr:rowOff>
    </xdr:from>
    <xdr:to>
      <xdr:col>56</xdr:col>
      <xdr:colOff>0</xdr:colOff>
      <xdr:row>5</xdr:row>
      <xdr:rowOff>114300</xdr:rowOff>
    </xdr:to>
    <xdr:cxnSp macro="">
      <xdr:nvCxnSpPr>
        <xdr:cNvPr id="447333" name="雷線上3">
          <a:extLst>
            <a:ext uri="{FF2B5EF4-FFF2-40B4-BE49-F238E27FC236}">
              <a16:creationId xmlns:a16="http://schemas.microsoft.com/office/drawing/2014/main" id="{0ABCB850-87EC-77A6-BC48-C3D16AD005FB}"/>
            </a:ext>
          </a:extLst>
        </xdr:cNvPr>
        <xdr:cNvCxnSpPr/>
      </xdr:nvCxnSpPr>
      <xdr:spPr>
        <a:xfrm flipH="1">
          <a:off x="15062908" y="1647825"/>
          <a:ext cx="1396292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3883</xdr:colOff>
      <xdr:row>5</xdr:row>
      <xdr:rowOff>114300</xdr:rowOff>
    </xdr:from>
    <xdr:to>
      <xdr:col>56</xdr:col>
      <xdr:colOff>0</xdr:colOff>
      <xdr:row>6</xdr:row>
      <xdr:rowOff>0</xdr:rowOff>
    </xdr:to>
    <xdr:cxnSp macro="">
      <xdr:nvCxnSpPr>
        <xdr:cNvPr id="447334" name="雷線下3">
          <a:extLst>
            <a:ext uri="{FF2B5EF4-FFF2-40B4-BE49-F238E27FC236}">
              <a16:creationId xmlns:a16="http://schemas.microsoft.com/office/drawing/2014/main" id="{3FBCCEB5-FE8D-DF6D-8F46-6BD500F6BCE4}"/>
            </a:ext>
          </a:extLst>
        </xdr:cNvPr>
        <xdr:cNvCxnSpPr/>
      </xdr:nvCxnSpPr>
      <xdr:spPr>
        <a:xfrm>
          <a:off x="15062908" y="1762125"/>
          <a:ext cx="1396292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12</xdr:row>
      <xdr:rowOff>0</xdr:rowOff>
    </xdr:to>
    <xdr:cxnSp macro="">
      <xdr:nvCxnSpPr>
        <xdr:cNvPr id="447335" name="基準線9">
          <a:extLst>
            <a:ext uri="{FF2B5EF4-FFF2-40B4-BE49-F238E27FC236}">
              <a16:creationId xmlns:a16="http://schemas.microsoft.com/office/drawing/2014/main" id="{16813FCC-073C-BCD8-B331-686461AAABC1}"/>
            </a:ext>
          </a:extLst>
        </xdr:cNvPr>
        <xdr:cNvCxnSpPr/>
      </xdr:nvCxnSpPr>
      <xdr:spPr>
        <a:xfrm>
          <a:off x="16459200" y="30670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12</xdr:row>
      <xdr:rowOff>0</xdr:rowOff>
    </xdr:to>
    <xdr:cxnSp macro="">
      <xdr:nvCxnSpPr>
        <xdr:cNvPr id="447336" name="雷線9">
          <a:extLst>
            <a:ext uri="{FF2B5EF4-FFF2-40B4-BE49-F238E27FC236}">
              <a16:creationId xmlns:a16="http://schemas.microsoft.com/office/drawing/2014/main" id="{353A65E0-8D04-A957-5833-E5C13B16F163}"/>
            </a:ext>
          </a:extLst>
        </xdr:cNvPr>
        <xdr:cNvCxnSpPr/>
      </xdr:nvCxnSpPr>
      <xdr:spPr>
        <a:xfrm>
          <a:off x="16459200" y="306705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56</xdr:col>
      <xdr:colOff>0</xdr:colOff>
      <xdr:row>13</xdr:row>
      <xdr:rowOff>0</xdr:rowOff>
    </xdr:to>
    <xdr:cxnSp macro="">
      <xdr:nvCxnSpPr>
        <xdr:cNvPr id="447337" name="基準線10">
          <a:extLst>
            <a:ext uri="{FF2B5EF4-FFF2-40B4-BE49-F238E27FC236}">
              <a16:creationId xmlns:a16="http://schemas.microsoft.com/office/drawing/2014/main" id="{D0458696-724E-7227-B3F7-C8D48BC7BC16}"/>
            </a:ext>
          </a:extLst>
        </xdr:cNvPr>
        <xdr:cNvCxnSpPr/>
      </xdr:nvCxnSpPr>
      <xdr:spPr>
        <a:xfrm>
          <a:off x="16459200" y="33051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56</xdr:col>
      <xdr:colOff>0</xdr:colOff>
      <xdr:row>13</xdr:row>
      <xdr:rowOff>0</xdr:rowOff>
    </xdr:to>
    <xdr:cxnSp macro="">
      <xdr:nvCxnSpPr>
        <xdr:cNvPr id="447338" name="雷線10">
          <a:extLst>
            <a:ext uri="{FF2B5EF4-FFF2-40B4-BE49-F238E27FC236}">
              <a16:creationId xmlns:a16="http://schemas.microsoft.com/office/drawing/2014/main" id="{7A897EB7-4E9F-198C-3FBE-B08690410A59}"/>
            </a:ext>
          </a:extLst>
        </xdr:cNvPr>
        <xdr:cNvCxnSpPr/>
      </xdr:nvCxnSpPr>
      <xdr:spPr>
        <a:xfrm>
          <a:off x="16459200" y="330517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13</xdr:row>
      <xdr:rowOff>0</xdr:rowOff>
    </xdr:from>
    <xdr:to>
      <xdr:col>56</xdr:col>
      <xdr:colOff>0</xdr:colOff>
      <xdr:row>14</xdr:row>
      <xdr:rowOff>0</xdr:rowOff>
    </xdr:to>
    <xdr:cxnSp macro="">
      <xdr:nvCxnSpPr>
        <xdr:cNvPr id="447339" name="基準線11">
          <a:extLst>
            <a:ext uri="{FF2B5EF4-FFF2-40B4-BE49-F238E27FC236}">
              <a16:creationId xmlns:a16="http://schemas.microsoft.com/office/drawing/2014/main" id="{90E905EE-C674-3E6D-D425-644871C4F4EF}"/>
            </a:ext>
          </a:extLst>
        </xdr:cNvPr>
        <xdr:cNvCxnSpPr/>
      </xdr:nvCxnSpPr>
      <xdr:spPr>
        <a:xfrm>
          <a:off x="16459200" y="35433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13</xdr:row>
      <xdr:rowOff>0</xdr:rowOff>
    </xdr:from>
    <xdr:to>
      <xdr:col>56</xdr:col>
      <xdr:colOff>0</xdr:colOff>
      <xdr:row>14</xdr:row>
      <xdr:rowOff>0</xdr:rowOff>
    </xdr:to>
    <xdr:cxnSp macro="">
      <xdr:nvCxnSpPr>
        <xdr:cNvPr id="447340" name="雷線11">
          <a:extLst>
            <a:ext uri="{FF2B5EF4-FFF2-40B4-BE49-F238E27FC236}">
              <a16:creationId xmlns:a16="http://schemas.microsoft.com/office/drawing/2014/main" id="{6BEEC5E7-5665-527F-20EA-71B6CCBF7370}"/>
            </a:ext>
          </a:extLst>
        </xdr:cNvPr>
        <xdr:cNvCxnSpPr/>
      </xdr:nvCxnSpPr>
      <xdr:spPr>
        <a:xfrm>
          <a:off x="16459200" y="354330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15</xdr:row>
      <xdr:rowOff>0</xdr:rowOff>
    </xdr:to>
    <xdr:cxnSp macro="">
      <xdr:nvCxnSpPr>
        <xdr:cNvPr id="447341" name="基準線12">
          <a:extLst>
            <a:ext uri="{FF2B5EF4-FFF2-40B4-BE49-F238E27FC236}">
              <a16:creationId xmlns:a16="http://schemas.microsoft.com/office/drawing/2014/main" id="{2F568E4B-101E-F7E1-9637-2059E9BA47BE}"/>
            </a:ext>
          </a:extLst>
        </xdr:cNvPr>
        <xdr:cNvCxnSpPr/>
      </xdr:nvCxnSpPr>
      <xdr:spPr>
        <a:xfrm>
          <a:off x="16459200" y="37814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15</xdr:row>
      <xdr:rowOff>0</xdr:rowOff>
    </xdr:to>
    <xdr:cxnSp macro="">
      <xdr:nvCxnSpPr>
        <xdr:cNvPr id="447342" name="雷線12">
          <a:extLst>
            <a:ext uri="{FF2B5EF4-FFF2-40B4-BE49-F238E27FC236}">
              <a16:creationId xmlns:a16="http://schemas.microsoft.com/office/drawing/2014/main" id="{B688F9AD-764B-A8A6-12E3-FEFFE2055E2D}"/>
            </a:ext>
          </a:extLst>
        </xdr:cNvPr>
        <xdr:cNvCxnSpPr/>
      </xdr:nvCxnSpPr>
      <xdr:spPr>
        <a:xfrm>
          <a:off x="16459200" y="378142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10</xdr:row>
      <xdr:rowOff>0</xdr:rowOff>
    </xdr:from>
    <xdr:to>
      <xdr:col>56</xdr:col>
      <xdr:colOff>0</xdr:colOff>
      <xdr:row>11</xdr:row>
      <xdr:rowOff>0</xdr:rowOff>
    </xdr:to>
    <xdr:cxnSp macro="">
      <xdr:nvCxnSpPr>
        <xdr:cNvPr id="447347" name="基準線8">
          <a:extLst>
            <a:ext uri="{FF2B5EF4-FFF2-40B4-BE49-F238E27FC236}">
              <a16:creationId xmlns:a16="http://schemas.microsoft.com/office/drawing/2014/main" id="{0804AC58-3E91-C899-3C9B-7B9CE8C28972}"/>
            </a:ext>
          </a:extLst>
        </xdr:cNvPr>
        <xdr:cNvCxnSpPr/>
      </xdr:nvCxnSpPr>
      <xdr:spPr>
        <a:xfrm>
          <a:off x="16459200" y="2828925"/>
          <a:ext cx="0" cy="22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10</xdr:row>
      <xdr:rowOff>0</xdr:rowOff>
    </xdr:from>
    <xdr:to>
      <xdr:col>56</xdr:col>
      <xdr:colOff>0</xdr:colOff>
      <xdr:row>11</xdr:row>
      <xdr:rowOff>0</xdr:rowOff>
    </xdr:to>
    <xdr:cxnSp macro="">
      <xdr:nvCxnSpPr>
        <xdr:cNvPr id="447348" name="雷線8">
          <a:extLst>
            <a:ext uri="{FF2B5EF4-FFF2-40B4-BE49-F238E27FC236}">
              <a16:creationId xmlns:a16="http://schemas.microsoft.com/office/drawing/2014/main" id="{587E8199-EB97-7D8A-CE50-36E859A3C898}"/>
            </a:ext>
          </a:extLst>
        </xdr:cNvPr>
        <xdr:cNvCxnSpPr/>
      </xdr:nvCxnSpPr>
      <xdr:spPr>
        <a:xfrm>
          <a:off x="16459200" y="2828925"/>
          <a:ext cx="0" cy="22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16</xdr:row>
      <xdr:rowOff>0</xdr:rowOff>
    </xdr:from>
    <xdr:to>
      <xdr:col>56</xdr:col>
      <xdr:colOff>0</xdr:colOff>
      <xdr:row>17</xdr:row>
      <xdr:rowOff>0</xdr:rowOff>
    </xdr:to>
    <xdr:cxnSp macro="">
      <xdr:nvCxnSpPr>
        <xdr:cNvPr id="447349" name="基準線14">
          <a:extLst>
            <a:ext uri="{FF2B5EF4-FFF2-40B4-BE49-F238E27FC236}">
              <a16:creationId xmlns:a16="http://schemas.microsoft.com/office/drawing/2014/main" id="{D46133D5-2184-844D-ECC6-4A09A6449118}"/>
            </a:ext>
          </a:extLst>
        </xdr:cNvPr>
        <xdr:cNvCxnSpPr/>
      </xdr:nvCxnSpPr>
      <xdr:spPr>
        <a:xfrm>
          <a:off x="16459200" y="42481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16</xdr:row>
      <xdr:rowOff>0</xdr:rowOff>
    </xdr:from>
    <xdr:to>
      <xdr:col>56</xdr:col>
      <xdr:colOff>0</xdr:colOff>
      <xdr:row>16</xdr:row>
      <xdr:rowOff>119063</xdr:rowOff>
    </xdr:to>
    <xdr:cxnSp macro="">
      <xdr:nvCxnSpPr>
        <xdr:cNvPr id="447351" name="雷線上14">
          <a:extLst>
            <a:ext uri="{FF2B5EF4-FFF2-40B4-BE49-F238E27FC236}">
              <a16:creationId xmlns:a16="http://schemas.microsoft.com/office/drawing/2014/main" id="{5ED8C239-AF18-9C3D-FEEE-6F86003F06BD}"/>
            </a:ext>
          </a:extLst>
        </xdr:cNvPr>
        <xdr:cNvCxnSpPr/>
      </xdr:nvCxnSpPr>
      <xdr:spPr>
        <a:xfrm flipH="1">
          <a:off x="15325725" y="4248150"/>
          <a:ext cx="1133475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16</xdr:row>
      <xdr:rowOff>119063</xdr:rowOff>
    </xdr:from>
    <xdr:to>
      <xdr:col>56</xdr:col>
      <xdr:colOff>0</xdr:colOff>
      <xdr:row>17</xdr:row>
      <xdr:rowOff>0</xdr:rowOff>
    </xdr:to>
    <xdr:cxnSp macro="">
      <xdr:nvCxnSpPr>
        <xdr:cNvPr id="447352" name="雷線下14">
          <a:extLst>
            <a:ext uri="{FF2B5EF4-FFF2-40B4-BE49-F238E27FC236}">
              <a16:creationId xmlns:a16="http://schemas.microsoft.com/office/drawing/2014/main" id="{472D6EA5-6072-6C1D-CFFC-353F9EC06D68}"/>
            </a:ext>
          </a:extLst>
        </xdr:cNvPr>
        <xdr:cNvCxnSpPr/>
      </xdr:nvCxnSpPr>
      <xdr:spPr>
        <a:xfrm>
          <a:off x="15325725" y="4367213"/>
          <a:ext cx="1133475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17</xdr:row>
      <xdr:rowOff>0</xdr:rowOff>
    </xdr:from>
    <xdr:to>
      <xdr:col>56</xdr:col>
      <xdr:colOff>0</xdr:colOff>
      <xdr:row>18</xdr:row>
      <xdr:rowOff>0</xdr:rowOff>
    </xdr:to>
    <xdr:cxnSp macro="">
      <xdr:nvCxnSpPr>
        <xdr:cNvPr id="447353" name="基準線15">
          <a:extLst>
            <a:ext uri="{FF2B5EF4-FFF2-40B4-BE49-F238E27FC236}">
              <a16:creationId xmlns:a16="http://schemas.microsoft.com/office/drawing/2014/main" id="{B0599A28-0214-17DD-5F93-47A5E73F790B}"/>
            </a:ext>
          </a:extLst>
        </xdr:cNvPr>
        <xdr:cNvCxnSpPr/>
      </xdr:nvCxnSpPr>
      <xdr:spPr>
        <a:xfrm>
          <a:off x="16459200" y="44862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17</xdr:row>
      <xdr:rowOff>0</xdr:rowOff>
    </xdr:from>
    <xdr:to>
      <xdr:col>56</xdr:col>
      <xdr:colOff>0</xdr:colOff>
      <xdr:row>17</xdr:row>
      <xdr:rowOff>119063</xdr:rowOff>
    </xdr:to>
    <xdr:cxnSp macro="">
      <xdr:nvCxnSpPr>
        <xdr:cNvPr id="447355" name="雷線上15">
          <a:extLst>
            <a:ext uri="{FF2B5EF4-FFF2-40B4-BE49-F238E27FC236}">
              <a16:creationId xmlns:a16="http://schemas.microsoft.com/office/drawing/2014/main" id="{3CD9E445-9BCD-C783-345D-1DABD76F548C}"/>
            </a:ext>
          </a:extLst>
        </xdr:cNvPr>
        <xdr:cNvCxnSpPr/>
      </xdr:nvCxnSpPr>
      <xdr:spPr>
        <a:xfrm>
          <a:off x="16459200" y="4486275"/>
          <a:ext cx="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17</xdr:row>
      <xdr:rowOff>119063</xdr:rowOff>
    </xdr:from>
    <xdr:to>
      <xdr:col>56</xdr:col>
      <xdr:colOff>0</xdr:colOff>
      <xdr:row>18</xdr:row>
      <xdr:rowOff>0</xdr:rowOff>
    </xdr:to>
    <xdr:cxnSp macro="">
      <xdr:nvCxnSpPr>
        <xdr:cNvPr id="447356" name="雷線下15">
          <a:extLst>
            <a:ext uri="{FF2B5EF4-FFF2-40B4-BE49-F238E27FC236}">
              <a16:creationId xmlns:a16="http://schemas.microsoft.com/office/drawing/2014/main" id="{796AC4DC-5C73-4A0C-B7C0-6C5B37E02857}"/>
            </a:ext>
          </a:extLst>
        </xdr:cNvPr>
        <xdr:cNvCxnSpPr/>
      </xdr:nvCxnSpPr>
      <xdr:spPr>
        <a:xfrm>
          <a:off x="16459200" y="4605338"/>
          <a:ext cx="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18</xdr:row>
      <xdr:rowOff>0</xdr:rowOff>
    </xdr:from>
    <xdr:to>
      <xdr:col>56</xdr:col>
      <xdr:colOff>0</xdr:colOff>
      <xdr:row>19</xdr:row>
      <xdr:rowOff>0</xdr:rowOff>
    </xdr:to>
    <xdr:cxnSp macro="">
      <xdr:nvCxnSpPr>
        <xdr:cNvPr id="447357" name="基準線16">
          <a:extLst>
            <a:ext uri="{FF2B5EF4-FFF2-40B4-BE49-F238E27FC236}">
              <a16:creationId xmlns:a16="http://schemas.microsoft.com/office/drawing/2014/main" id="{08038AF7-5171-2CA3-F68C-72636A04CF3C}"/>
            </a:ext>
          </a:extLst>
        </xdr:cNvPr>
        <xdr:cNvCxnSpPr/>
      </xdr:nvCxnSpPr>
      <xdr:spPr>
        <a:xfrm>
          <a:off x="16459200" y="47244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18</xdr:row>
      <xdr:rowOff>0</xdr:rowOff>
    </xdr:from>
    <xdr:to>
      <xdr:col>56</xdr:col>
      <xdr:colOff>0</xdr:colOff>
      <xdr:row>18</xdr:row>
      <xdr:rowOff>119063</xdr:rowOff>
    </xdr:to>
    <xdr:cxnSp macro="">
      <xdr:nvCxnSpPr>
        <xdr:cNvPr id="447359" name="雷線上16">
          <a:extLst>
            <a:ext uri="{FF2B5EF4-FFF2-40B4-BE49-F238E27FC236}">
              <a16:creationId xmlns:a16="http://schemas.microsoft.com/office/drawing/2014/main" id="{75CFA23B-1CAD-CC74-E604-AB6FBA04D2E8}"/>
            </a:ext>
          </a:extLst>
        </xdr:cNvPr>
        <xdr:cNvCxnSpPr/>
      </xdr:nvCxnSpPr>
      <xdr:spPr>
        <a:xfrm>
          <a:off x="16459200" y="4724400"/>
          <a:ext cx="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18</xdr:row>
      <xdr:rowOff>119063</xdr:rowOff>
    </xdr:from>
    <xdr:to>
      <xdr:col>56</xdr:col>
      <xdr:colOff>0</xdr:colOff>
      <xdr:row>19</xdr:row>
      <xdr:rowOff>0</xdr:rowOff>
    </xdr:to>
    <xdr:cxnSp macro="">
      <xdr:nvCxnSpPr>
        <xdr:cNvPr id="447360" name="雷線下16">
          <a:extLst>
            <a:ext uri="{FF2B5EF4-FFF2-40B4-BE49-F238E27FC236}">
              <a16:creationId xmlns:a16="http://schemas.microsoft.com/office/drawing/2014/main" id="{1920C2E3-AD2B-9738-E772-A9B8B760E2A0}"/>
            </a:ext>
          </a:extLst>
        </xdr:cNvPr>
        <xdr:cNvCxnSpPr/>
      </xdr:nvCxnSpPr>
      <xdr:spPr>
        <a:xfrm>
          <a:off x="16459200" y="4843463"/>
          <a:ext cx="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15</xdr:row>
      <xdr:rowOff>0</xdr:rowOff>
    </xdr:from>
    <xdr:to>
      <xdr:col>56</xdr:col>
      <xdr:colOff>0</xdr:colOff>
      <xdr:row>16</xdr:row>
      <xdr:rowOff>0</xdr:rowOff>
    </xdr:to>
    <xdr:cxnSp macro="">
      <xdr:nvCxnSpPr>
        <xdr:cNvPr id="447365" name="基準線13">
          <a:extLst>
            <a:ext uri="{FF2B5EF4-FFF2-40B4-BE49-F238E27FC236}">
              <a16:creationId xmlns:a16="http://schemas.microsoft.com/office/drawing/2014/main" id="{BAA50929-6F16-605D-1B6B-E635A7D70739}"/>
            </a:ext>
          </a:extLst>
        </xdr:cNvPr>
        <xdr:cNvCxnSpPr/>
      </xdr:nvCxnSpPr>
      <xdr:spPr>
        <a:xfrm>
          <a:off x="16459200" y="4010025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15</xdr:row>
      <xdr:rowOff>0</xdr:rowOff>
    </xdr:from>
    <xdr:to>
      <xdr:col>56</xdr:col>
      <xdr:colOff>0</xdr:colOff>
      <xdr:row>15</xdr:row>
      <xdr:rowOff>114300</xdr:rowOff>
    </xdr:to>
    <xdr:cxnSp macro="">
      <xdr:nvCxnSpPr>
        <xdr:cNvPr id="447367" name="雷線上13">
          <a:extLst>
            <a:ext uri="{FF2B5EF4-FFF2-40B4-BE49-F238E27FC236}">
              <a16:creationId xmlns:a16="http://schemas.microsoft.com/office/drawing/2014/main" id="{44638A25-CCA0-71B9-70CC-7E660EE329E1}"/>
            </a:ext>
          </a:extLst>
        </xdr:cNvPr>
        <xdr:cNvCxnSpPr/>
      </xdr:nvCxnSpPr>
      <xdr:spPr>
        <a:xfrm flipH="1">
          <a:off x="15325725" y="4010025"/>
          <a:ext cx="1133475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15</xdr:row>
      <xdr:rowOff>114300</xdr:rowOff>
    </xdr:from>
    <xdr:to>
      <xdr:col>56</xdr:col>
      <xdr:colOff>0</xdr:colOff>
      <xdr:row>16</xdr:row>
      <xdr:rowOff>0</xdr:rowOff>
    </xdr:to>
    <xdr:cxnSp macro="">
      <xdr:nvCxnSpPr>
        <xdr:cNvPr id="447368" name="雷線下13">
          <a:extLst>
            <a:ext uri="{FF2B5EF4-FFF2-40B4-BE49-F238E27FC236}">
              <a16:creationId xmlns:a16="http://schemas.microsoft.com/office/drawing/2014/main" id="{BF56CA55-EBBF-251C-1B59-5122A865E04E}"/>
            </a:ext>
          </a:extLst>
        </xdr:cNvPr>
        <xdr:cNvCxnSpPr/>
      </xdr:nvCxnSpPr>
      <xdr:spPr>
        <a:xfrm>
          <a:off x="15325725" y="4124325"/>
          <a:ext cx="1133475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20</xdr:row>
      <xdr:rowOff>0</xdr:rowOff>
    </xdr:from>
    <xdr:to>
      <xdr:col>56</xdr:col>
      <xdr:colOff>0</xdr:colOff>
      <xdr:row>21</xdr:row>
      <xdr:rowOff>0</xdr:rowOff>
    </xdr:to>
    <xdr:cxnSp macro="">
      <xdr:nvCxnSpPr>
        <xdr:cNvPr id="447369" name="基準線18">
          <a:extLst>
            <a:ext uri="{FF2B5EF4-FFF2-40B4-BE49-F238E27FC236}">
              <a16:creationId xmlns:a16="http://schemas.microsoft.com/office/drawing/2014/main" id="{6AF0E8AE-8E24-C361-AFB2-7FAA2C85A0FF}"/>
            </a:ext>
          </a:extLst>
        </xdr:cNvPr>
        <xdr:cNvCxnSpPr/>
      </xdr:nvCxnSpPr>
      <xdr:spPr>
        <a:xfrm>
          <a:off x="16459200" y="51911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20</xdr:row>
      <xdr:rowOff>0</xdr:rowOff>
    </xdr:from>
    <xdr:to>
      <xdr:col>56</xdr:col>
      <xdr:colOff>0</xdr:colOff>
      <xdr:row>21</xdr:row>
      <xdr:rowOff>0</xdr:rowOff>
    </xdr:to>
    <xdr:cxnSp macro="">
      <xdr:nvCxnSpPr>
        <xdr:cNvPr id="447370" name="雷線18">
          <a:extLst>
            <a:ext uri="{FF2B5EF4-FFF2-40B4-BE49-F238E27FC236}">
              <a16:creationId xmlns:a16="http://schemas.microsoft.com/office/drawing/2014/main" id="{88661534-283A-FDC0-4977-02C6B98FDCE1}"/>
            </a:ext>
          </a:extLst>
        </xdr:cNvPr>
        <xdr:cNvCxnSpPr/>
      </xdr:nvCxnSpPr>
      <xdr:spPr>
        <a:xfrm>
          <a:off x="16459200" y="519112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21</xdr:row>
      <xdr:rowOff>0</xdr:rowOff>
    </xdr:from>
    <xdr:to>
      <xdr:col>56</xdr:col>
      <xdr:colOff>0</xdr:colOff>
      <xdr:row>22</xdr:row>
      <xdr:rowOff>0</xdr:rowOff>
    </xdr:to>
    <xdr:cxnSp macro="">
      <xdr:nvCxnSpPr>
        <xdr:cNvPr id="447371" name="基準線19">
          <a:extLst>
            <a:ext uri="{FF2B5EF4-FFF2-40B4-BE49-F238E27FC236}">
              <a16:creationId xmlns:a16="http://schemas.microsoft.com/office/drawing/2014/main" id="{0583EA5D-3BE6-0A6B-2C8B-D8788820294D}"/>
            </a:ext>
          </a:extLst>
        </xdr:cNvPr>
        <xdr:cNvCxnSpPr/>
      </xdr:nvCxnSpPr>
      <xdr:spPr>
        <a:xfrm>
          <a:off x="16459200" y="54292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21</xdr:row>
      <xdr:rowOff>0</xdr:rowOff>
    </xdr:from>
    <xdr:to>
      <xdr:col>56</xdr:col>
      <xdr:colOff>0</xdr:colOff>
      <xdr:row>21</xdr:row>
      <xdr:rowOff>119063</xdr:rowOff>
    </xdr:to>
    <xdr:cxnSp macro="">
      <xdr:nvCxnSpPr>
        <xdr:cNvPr id="447373" name="雷線上19">
          <a:extLst>
            <a:ext uri="{FF2B5EF4-FFF2-40B4-BE49-F238E27FC236}">
              <a16:creationId xmlns:a16="http://schemas.microsoft.com/office/drawing/2014/main" id="{7E356083-7107-8B0A-1E41-A78B772FA57E}"/>
            </a:ext>
          </a:extLst>
        </xdr:cNvPr>
        <xdr:cNvCxnSpPr/>
      </xdr:nvCxnSpPr>
      <xdr:spPr>
        <a:xfrm>
          <a:off x="16459200" y="5429250"/>
          <a:ext cx="0" cy="119063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21</xdr:row>
      <xdr:rowOff>119063</xdr:rowOff>
    </xdr:from>
    <xdr:to>
      <xdr:col>56</xdr:col>
      <xdr:colOff>0</xdr:colOff>
      <xdr:row>22</xdr:row>
      <xdr:rowOff>0</xdr:rowOff>
    </xdr:to>
    <xdr:cxnSp macro="">
      <xdr:nvCxnSpPr>
        <xdr:cNvPr id="447374" name="雷線下19">
          <a:extLst>
            <a:ext uri="{FF2B5EF4-FFF2-40B4-BE49-F238E27FC236}">
              <a16:creationId xmlns:a16="http://schemas.microsoft.com/office/drawing/2014/main" id="{C85E4240-5892-9E7D-D0D6-7258472CA569}"/>
            </a:ext>
          </a:extLst>
        </xdr:cNvPr>
        <xdr:cNvCxnSpPr/>
      </xdr:nvCxnSpPr>
      <xdr:spPr>
        <a:xfrm>
          <a:off x="16459200" y="5548313"/>
          <a:ext cx="0" cy="119062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22</xdr:row>
      <xdr:rowOff>0</xdr:rowOff>
    </xdr:from>
    <xdr:to>
      <xdr:col>56</xdr:col>
      <xdr:colOff>0</xdr:colOff>
      <xdr:row>23</xdr:row>
      <xdr:rowOff>0</xdr:rowOff>
    </xdr:to>
    <xdr:cxnSp macro="">
      <xdr:nvCxnSpPr>
        <xdr:cNvPr id="447375" name="基準線20">
          <a:extLst>
            <a:ext uri="{FF2B5EF4-FFF2-40B4-BE49-F238E27FC236}">
              <a16:creationId xmlns:a16="http://schemas.microsoft.com/office/drawing/2014/main" id="{5443CE5B-06D1-60B8-BC5F-336854A89174}"/>
            </a:ext>
          </a:extLst>
        </xdr:cNvPr>
        <xdr:cNvCxnSpPr/>
      </xdr:nvCxnSpPr>
      <xdr:spPr>
        <a:xfrm>
          <a:off x="16459200" y="56673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22</xdr:row>
      <xdr:rowOff>0</xdr:rowOff>
    </xdr:from>
    <xdr:to>
      <xdr:col>56</xdr:col>
      <xdr:colOff>0</xdr:colOff>
      <xdr:row>23</xdr:row>
      <xdr:rowOff>0</xdr:rowOff>
    </xdr:to>
    <xdr:cxnSp macro="">
      <xdr:nvCxnSpPr>
        <xdr:cNvPr id="447376" name="雷線20">
          <a:extLst>
            <a:ext uri="{FF2B5EF4-FFF2-40B4-BE49-F238E27FC236}">
              <a16:creationId xmlns:a16="http://schemas.microsoft.com/office/drawing/2014/main" id="{17298D4D-DB75-7D7A-3843-D3705D34C9E3}"/>
            </a:ext>
          </a:extLst>
        </xdr:cNvPr>
        <xdr:cNvCxnSpPr/>
      </xdr:nvCxnSpPr>
      <xdr:spPr>
        <a:xfrm>
          <a:off x="16459200" y="566737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19</xdr:row>
      <xdr:rowOff>0</xdr:rowOff>
    </xdr:from>
    <xdr:to>
      <xdr:col>56</xdr:col>
      <xdr:colOff>0</xdr:colOff>
      <xdr:row>20</xdr:row>
      <xdr:rowOff>0</xdr:rowOff>
    </xdr:to>
    <xdr:cxnSp macro="">
      <xdr:nvCxnSpPr>
        <xdr:cNvPr id="447377" name="基準線17">
          <a:extLst>
            <a:ext uri="{FF2B5EF4-FFF2-40B4-BE49-F238E27FC236}">
              <a16:creationId xmlns:a16="http://schemas.microsoft.com/office/drawing/2014/main" id="{AE66B618-B05F-B800-255B-17AE14A46B0A}"/>
            </a:ext>
          </a:extLst>
        </xdr:cNvPr>
        <xdr:cNvCxnSpPr/>
      </xdr:nvCxnSpPr>
      <xdr:spPr>
        <a:xfrm>
          <a:off x="16459200" y="49530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19</xdr:row>
      <xdr:rowOff>0</xdr:rowOff>
    </xdr:from>
    <xdr:to>
      <xdr:col>56</xdr:col>
      <xdr:colOff>0</xdr:colOff>
      <xdr:row>19</xdr:row>
      <xdr:rowOff>114300</xdr:rowOff>
    </xdr:to>
    <xdr:cxnSp macro="">
      <xdr:nvCxnSpPr>
        <xdr:cNvPr id="447379" name="雷線上17">
          <a:extLst>
            <a:ext uri="{FF2B5EF4-FFF2-40B4-BE49-F238E27FC236}">
              <a16:creationId xmlns:a16="http://schemas.microsoft.com/office/drawing/2014/main" id="{20DE4B6E-2167-D858-2B88-5626A8DE6AB2}"/>
            </a:ext>
          </a:extLst>
        </xdr:cNvPr>
        <xdr:cNvCxnSpPr/>
      </xdr:nvCxnSpPr>
      <xdr:spPr>
        <a:xfrm>
          <a:off x="16459200" y="4953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19</xdr:row>
      <xdr:rowOff>114300</xdr:rowOff>
    </xdr:from>
    <xdr:to>
      <xdr:col>56</xdr:col>
      <xdr:colOff>0</xdr:colOff>
      <xdr:row>20</xdr:row>
      <xdr:rowOff>0</xdr:rowOff>
    </xdr:to>
    <xdr:cxnSp macro="">
      <xdr:nvCxnSpPr>
        <xdr:cNvPr id="447380" name="雷線下17">
          <a:extLst>
            <a:ext uri="{FF2B5EF4-FFF2-40B4-BE49-F238E27FC236}">
              <a16:creationId xmlns:a16="http://schemas.microsoft.com/office/drawing/2014/main" id="{52E6828F-C906-0CAB-1D01-687DF7B3A4BF}"/>
            </a:ext>
          </a:extLst>
        </xdr:cNvPr>
        <xdr:cNvCxnSpPr/>
      </xdr:nvCxnSpPr>
      <xdr:spPr>
        <a:xfrm>
          <a:off x="16459200" y="5067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23</xdr:row>
      <xdr:rowOff>0</xdr:rowOff>
    </xdr:from>
    <xdr:to>
      <xdr:col>56</xdr:col>
      <xdr:colOff>0</xdr:colOff>
      <xdr:row>24</xdr:row>
      <xdr:rowOff>0</xdr:rowOff>
    </xdr:to>
    <xdr:cxnSp macro="">
      <xdr:nvCxnSpPr>
        <xdr:cNvPr id="447381" name="基準線21">
          <a:extLst>
            <a:ext uri="{FF2B5EF4-FFF2-40B4-BE49-F238E27FC236}">
              <a16:creationId xmlns:a16="http://schemas.microsoft.com/office/drawing/2014/main" id="{7D77FF9F-4F18-8A63-6430-0D5CAB4ACCBD}"/>
            </a:ext>
          </a:extLst>
        </xdr:cNvPr>
        <xdr:cNvCxnSpPr/>
      </xdr:nvCxnSpPr>
      <xdr:spPr>
        <a:xfrm>
          <a:off x="16459200" y="58959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23</xdr:row>
      <xdr:rowOff>0</xdr:rowOff>
    </xdr:from>
    <xdr:to>
      <xdr:col>56</xdr:col>
      <xdr:colOff>0</xdr:colOff>
      <xdr:row>24</xdr:row>
      <xdr:rowOff>0</xdr:rowOff>
    </xdr:to>
    <xdr:cxnSp macro="">
      <xdr:nvCxnSpPr>
        <xdr:cNvPr id="447382" name="雷線21">
          <a:extLst>
            <a:ext uri="{FF2B5EF4-FFF2-40B4-BE49-F238E27FC236}">
              <a16:creationId xmlns:a16="http://schemas.microsoft.com/office/drawing/2014/main" id="{99259255-03FC-2FCF-D9CD-2688FA39BDA7}"/>
            </a:ext>
          </a:extLst>
        </xdr:cNvPr>
        <xdr:cNvCxnSpPr/>
      </xdr:nvCxnSpPr>
      <xdr:spPr>
        <a:xfrm>
          <a:off x="16459200" y="589597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24</xdr:row>
      <xdr:rowOff>0</xdr:rowOff>
    </xdr:from>
    <xdr:to>
      <xdr:col>56</xdr:col>
      <xdr:colOff>0</xdr:colOff>
      <xdr:row>25</xdr:row>
      <xdr:rowOff>0</xdr:rowOff>
    </xdr:to>
    <xdr:cxnSp macro="">
      <xdr:nvCxnSpPr>
        <xdr:cNvPr id="447383" name="基準線22">
          <a:extLst>
            <a:ext uri="{FF2B5EF4-FFF2-40B4-BE49-F238E27FC236}">
              <a16:creationId xmlns:a16="http://schemas.microsoft.com/office/drawing/2014/main" id="{5E77077A-ED2E-4797-6DDE-FD60AA5A68FE}"/>
            </a:ext>
          </a:extLst>
        </xdr:cNvPr>
        <xdr:cNvCxnSpPr/>
      </xdr:nvCxnSpPr>
      <xdr:spPr>
        <a:xfrm>
          <a:off x="16459200" y="61341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24</xdr:row>
      <xdr:rowOff>0</xdr:rowOff>
    </xdr:from>
    <xdr:to>
      <xdr:col>56</xdr:col>
      <xdr:colOff>0</xdr:colOff>
      <xdr:row>25</xdr:row>
      <xdr:rowOff>0</xdr:rowOff>
    </xdr:to>
    <xdr:cxnSp macro="">
      <xdr:nvCxnSpPr>
        <xdr:cNvPr id="447384" name="雷線22">
          <a:extLst>
            <a:ext uri="{FF2B5EF4-FFF2-40B4-BE49-F238E27FC236}">
              <a16:creationId xmlns:a16="http://schemas.microsoft.com/office/drawing/2014/main" id="{F6D5C7A7-0416-79BD-6B94-A1BB200D8EAB}"/>
            </a:ext>
          </a:extLst>
        </xdr:cNvPr>
        <xdr:cNvCxnSpPr/>
      </xdr:nvCxnSpPr>
      <xdr:spPr>
        <a:xfrm>
          <a:off x="16459200" y="613410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25</xdr:row>
      <xdr:rowOff>0</xdr:rowOff>
    </xdr:from>
    <xdr:to>
      <xdr:col>56</xdr:col>
      <xdr:colOff>0</xdr:colOff>
      <xdr:row>26</xdr:row>
      <xdr:rowOff>0</xdr:rowOff>
    </xdr:to>
    <xdr:cxnSp macro="">
      <xdr:nvCxnSpPr>
        <xdr:cNvPr id="447385" name="基準線23">
          <a:extLst>
            <a:ext uri="{FF2B5EF4-FFF2-40B4-BE49-F238E27FC236}">
              <a16:creationId xmlns:a16="http://schemas.microsoft.com/office/drawing/2014/main" id="{5650F720-0CC0-776C-3746-0D39556A070B}"/>
            </a:ext>
          </a:extLst>
        </xdr:cNvPr>
        <xdr:cNvCxnSpPr/>
      </xdr:nvCxnSpPr>
      <xdr:spPr>
        <a:xfrm>
          <a:off x="16459200" y="63722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25</xdr:row>
      <xdr:rowOff>0</xdr:rowOff>
    </xdr:from>
    <xdr:to>
      <xdr:col>56</xdr:col>
      <xdr:colOff>0</xdr:colOff>
      <xdr:row>26</xdr:row>
      <xdr:rowOff>0</xdr:rowOff>
    </xdr:to>
    <xdr:cxnSp macro="">
      <xdr:nvCxnSpPr>
        <xdr:cNvPr id="447386" name="雷線23">
          <a:extLst>
            <a:ext uri="{FF2B5EF4-FFF2-40B4-BE49-F238E27FC236}">
              <a16:creationId xmlns:a16="http://schemas.microsoft.com/office/drawing/2014/main" id="{30F411CA-5E41-9795-7EEE-4B4777DBCD01}"/>
            </a:ext>
          </a:extLst>
        </xdr:cNvPr>
        <xdr:cNvCxnSpPr/>
      </xdr:nvCxnSpPr>
      <xdr:spPr>
        <a:xfrm>
          <a:off x="16459200" y="637222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26</xdr:row>
      <xdr:rowOff>0</xdr:rowOff>
    </xdr:from>
    <xdr:to>
      <xdr:col>56</xdr:col>
      <xdr:colOff>0</xdr:colOff>
      <xdr:row>27</xdr:row>
      <xdr:rowOff>0</xdr:rowOff>
    </xdr:to>
    <xdr:cxnSp macro="">
      <xdr:nvCxnSpPr>
        <xdr:cNvPr id="447387" name="基準線24">
          <a:extLst>
            <a:ext uri="{FF2B5EF4-FFF2-40B4-BE49-F238E27FC236}">
              <a16:creationId xmlns:a16="http://schemas.microsoft.com/office/drawing/2014/main" id="{83A7D1D0-CD65-B643-6F8C-AD4246CFE5F7}"/>
            </a:ext>
          </a:extLst>
        </xdr:cNvPr>
        <xdr:cNvCxnSpPr/>
      </xdr:nvCxnSpPr>
      <xdr:spPr>
        <a:xfrm>
          <a:off x="16459200" y="66103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26</xdr:row>
      <xdr:rowOff>0</xdr:rowOff>
    </xdr:from>
    <xdr:to>
      <xdr:col>56</xdr:col>
      <xdr:colOff>0</xdr:colOff>
      <xdr:row>27</xdr:row>
      <xdr:rowOff>0</xdr:rowOff>
    </xdr:to>
    <xdr:cxnSp macro="">
      <xdr:nvCxnSpPr>
        <xdr:cNvPr id="447388" name="雷線24">
          <a:extLst>
            <a:ext uri="{FF2B5EF4-FFF2-40B4-BE49-F238E27FC236}">
              <a16:creationId xmlns:a16="http://schemas.microsoft.com/office/drawing/2014/main" id="{3AD2888D-A33F-4C0C-049A-422BF79409C4}"/>
            </a:ext>
          </a:extLst>
        </xdr:cNvPr>
        <xdr:cNvCxnSpPr/>
      </xdr:nvCxnSpPr>
      <xdr:spPr>
        <a:xfrm>
          <a:off x="16459200" y="661035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27</xdr:row>
      <xdr:rowOff>0</xdr:rowOff>
    </xdr:from>
    <xdr:to>
      <xdr:col>56</xdr:col>
      <xdr:colOff>0</xdr:colOff>
      <xdr:row>28</xdr:row>
      <xdr:rowOff>0</xdr:rowOff>
    </xdr:to>
    <xdr:cxnSp macro="">
      <xdr:nvCxnSpPr>
        <xdr:cNvPr id="447389" name="基準線25">
          <a:extLst>
            <a:ext uri="{FF2B5EF4-FFF2-40B4-BE49-F238E27FC236}">
              <a16:creationId xmlns:a16="http://schemas.microsoft.com/office/drawing/2014/main" id="{645D1088-E1EB-FE3A-C027-549C32195319}"/>
            </a:ext>
          </a:extLst>
        </xdr:cNvPr>
        <xdr:cNvCxnSpPr/>
      </xdr:nvCxnSpPr>
      <xdr:spPr>
        <a:xfrm>
          <a:off x="16459200" y="68484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27</xdr:row>
      <xdr:rowOff>0</xdr:rowOff>
    </xdr:from>
    <xdr:to>
      <xdr:col>56</xdr:col>
      <xdr:colOff>0</xdr:colOff>
      <xdr:row>28</xdr:row>
      <xdr:rowOff>0</xdr:rowOff>
    </xdr:to>
    <xdr:cxnSp macro="">
      <xdr:nvCxnSpPr>
        <xdr:cNvPr id="447390" name="雷線25">
          <a:extLst>
            <a:ext uri="{FF2B5EF4-FFF2-40B4-BE49-F238E27FC236}">
              <a16:creationId xmlns:a16="http://schemas.microsoft.com/office/drawing/2014/main" id="{851FD89D-2519-B83B-AA3E-BB331FA393DF}"/>
            </a:ext>
          </a:extLst>
        </xdr:cNvPr>
        <xdr:cNvCxnSpPr/>
      </xdr:nvCxnSpPr>
      <xdr:spPr>
        <a:xfrm>
          <a:off x="16459200" y="684847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28</xdr:row>
      <xdr:rowOff>0</xdr:rowOff>
    </xdr:from>
    <xdr:to>
      <xdr:col>56</xdr:col>
      <xdr:colOff>0</xdr:colOff>
      <xdr:row>29</xdr:row>
      <xdr:rowOff>0</xdr:rowOff>
    </xdr:to>
    <xdr:cxnSp macro="">
      <xdr:nvCxnSpPr>
        <xdr:cNvPr id="447391" name="基準線26">
          <a:extLst>
            <a:ext uri="{FF2B5EF4-FFF2-40B4-BE49-F238E27FC236}">
              <a16:creationId xmlns:a16="http://schemas.microsoft.com/office/drawing/2014/main" id="{B920626E-9475-5FCE-56BD-828AA400D40C}"/>
            </a:ext>
          </a:extLst>
        </xdr:cNvPr>
        <xdr:cNvCxnSpPr/>
      </xdr:nvCxnSpPr>
      <xdr:spPr>
        <a:xfrm>
          <a:off x="16459200" y="70866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28</xdr:row>
      <xdr:rowOff>0</xdr:rowOff>
    </xdr:from>
    <xdr:to>
      <xdr:col>56</xdr:col>
      <xdr:colOff>0</xdr:colOff>
      <xdr:row>29</xdr:row>
      <xdr:rowOff>0</xdr:rowOff>
    </xdr:to>
    <xdr:cxnSp macro="">
      <xdr:nvCxnSpPr>
        <xdr:cNvPr id="447392" name="雷線26">
          <a:extLst>
            <a:ext uri="{FF2B5EF4-FFF2-40B4-BE49-F238E27FC236}">
              <a16:creationId xmlns:a16="http://schemas.microsoft.com/office/drawing/2014/main" id="{B18D5C77-0DA4-17DC-F3F9-FF72DFD5E595}"/>
            </a:ext>
          </a:extLst>
        </xdr:cNvPr>
        <xdr:cNvCxnSpPr/>
      </xdr:nvCxnSpPr>
      <xdr:spPr>
        <a:xfrm>
          <a:off x="16459200" y="708660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29</xdr:row>
      <xdr:rowOff>0</xdr:rowOff>
    </xdr:from>
    <xdr:to>
      <xdr:col>56</xdr:col>
      <xdr:colOff>0</xdr:colOff>
      <xdr:row>30</xdr:row>
      <xdr:rowOff>0</xdr:rowOff>
    </xdr:to>
    <xdr:cxnSp macro="">
      <xdr:nvCxnSpPr>
        <xdr:cNvPr id="447393" name="基準線27">
          <a:extLst>
            <a:ext uri="{FF2B5EF4-FFF2-40B4-BE49-F238E27FC236}">
              <a16:creationId xmlns:a16="http://schemas.microsoft.com/office/drawing/2014/main" id="{4697A616-FE17-2894-598A-575C8C067277}"/>
            </a:ext>
          </a:extLst>
        </xdr:cNvPr>
        <xdr:cNvCxnSpPr/>
      </xdr:nvCxnSpPr>
      <xdr:spPr>
        <a:xfrm>
          <a:off x="16459200" y="73247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29</xdr:row>
      <xdr:rowOff>0</xdr:rowOff>
    </xdr:from>
    <xdr:to>
      <xdr:col>56</xdr:col>
      <xdr:colOff>0</xdr:colOff>
      <xdr:row>30</xdr:row>
      <xdr:rowOff>0</xdr:rowOff>
    </xdr:to>
    <xdr:cxnSp macro="">
      <xdr:nvCxnSpPr>
        <xdr:cNvPr id="447394" name="雷線27">
          <a:extLst>
            <a:ext uri="{FF2B5EF4-FFF2-40B4-BE49-F238E27FC236}">
              <a16:creationId xmlns:a16="http://schemas.microsoft.com/office/drawing/2014/main" id="{7AC3B018-A979-74B2-642A-E47E0903E7F2}"/>
            </a:ext>
          </a:extLst>
        </xdr:cNvPr>
        <xdr:cNvCxnSpPr/>
      </xdr:nvCxnSpPr>
      <xdr:spPr>
        <a:xfrm>
          <a:off x="16459200" y="732472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30</xdr:row>
      <xdr:rowOff>0</xdr:rowOff>
    </xdr:from>
    <xdr:to>
      <xdr:col>56</xdr:col>
      <xdr:colOff>0</xdr:colOff>
      <xdr:row>31</xdr:row>
      <xdr:rowOff>0</xdr:rowOff>
    </xdr:to>
    <xdr:cxnSp macro="">
      <xdr:nvCxnSpPr>
        <xdr:cNvPr id="447395" name="基準線28">
          <a:extLst>
            <a:ext uri="{FF2B5EF4-FFF2-40B4-BE49-F238E27FC236}">
              <a16:creationId xmlns:a16="http://schemas.microsoft.com/office/drawing/2014/main" id="{6FE41995-A0F1-A642-E870-44D3A643E704}"/>
            </a:ext>
          </a:extLst>
        </xdr:cNvPr>
        <xdr:cNvCxnSpPr/>
      </xdr:nvCxnSpPr>
      <xdr:spPr>
        <a:xfrm>
          <a:off x="16459200" y="756285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30</xdr:row>
      <xdr:rowOff>0</xdr:rowOff>
    </xdr:from>
    <xdr:to>
      <xdr:col>56</xdr:col>
      <xdr:colOff>0</xdr:colOff>
      <xdr:row>31</xdr:row>
      <xdr:rowOff>0</xdr:rowOff>
    </xdr:to>
    <xdr:cxnSp macro="">
      <xdr:nvCxnSpPr>
        <xdr:cNvPr id="447396" name="雷線28">
          <a:extLst>
            <a:ext uri="{FF2B5EF4-FFF2-40B4-BE49-F238E27FC236}">
              <a16:creationId xmlns:a16="http://schemas.microsoft.com/office/drawing/2014/main" id="{67DA8BB0-2E59-762D-9798-E592A62F7FD6}"/>
            </a:ext>
          </a:extLst>
        </xdr:cNvPr>
        <xdr:cNvCxnSpPr/>
      </xdr:nvCxnSpPr>
      <xdr:spPr>
        <a:xfrm>
          <a:off x="16459200" y="756285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31</xdr:row>
      <xdr:rowOff>0</xdr:rowOff>
    </xdr:from>
    <xdr:to>
      <xdr:col>56</xdr:col>
      <xdr:colOff>0</xdr:colOff>
      <xdr:row>32</xdr:row>
      <xdr:rowOff>0</xdr:rowOff>
    </xdr:to>
    <xdr:cxnSp macro="">
      <xdr:nvCxnSpPr>
        <xdr:cNvPr id="447397" name="基準線29">
          <a:extLst>
            <a:ext uri="{FF2B5EF4-FFF2-40B4-BE49-F238E27FC236}">
              <a16:creationId xmlns:a16="http://schemas.microsoft.com/office/drawing/2014/main" id="{B07762D0-D282-1FAD-1327-8FEAE65CCF96}"/>
            </a:ext>
          </a:extLst>
        </xdr:cNvPr>
        <xdr:cNvCxnSpPr/>
      </xdr:nvCxnSpPr>
      <xdr:spPr>
        <a:xfrm>
          <a:off x="16459200" y="780097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31</xdr:row>
      <xdr:rowOff>0</xdr:rowOff>
    </xdr:from>
    <xdr:to>
      <xdr:col>56</xdr:col>
      <xdr:colOff>0</xdr:colOff>
      <xdr:row>32</xdr:row>
      <xdr:rowOff>0</xdr:rowOff>
    </xdr:to>
    <xdr:cxnSp macro="">
      <xdr:nvCxnSpPr>
        <xdr:cNvPr id="447398" name="雷線29">
          <a:extLst>
            <a:ext uri="{FF2B5EF4-FFF2-40B4-BE49-F238E27FC236}">
              <a16:creationId xmlns:a16="http://schemas.microsoft.com/office/drawing/2014/main" id="{9CE7E476-39D0-0F75-AB96-C2CF5CDC2607}"/>
            </a:ext>
          </a:extLst>
        </xdr:cNvPr>
        <xdr:cNvCxnSpPr/>
      </xdr:nvCxnSpPr>
      <xdr:spPr>
        <a:xfrm>
          <a:off x="16459200" y="780097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32</xdr:row>
      <xdr:rowOff>0</xdr:rowOff>
    </xdr:from>
    <xdr:to>
      <xdr:col>56</xdr:col>
      <xdr:colOff>0</xdr:colOff>
      <xdr:row>33</xdr:row>
      <xdr:rowOff>0</xdr:rowOff>
    </xdr:to>
    <xdr:cxnSp macro="">
      <xdr:nvCxnSpPr>
        <xdr:cNvPr id="447399" name="基準線30">
          <a:extLst>
            <a:ext uri="{FF2B5EF4-FFF2-40B4-BE49-F238E27FC236}">
              <a16:creationId xmlns:a16="http://schemas.microsoft.com/office/drawing/2014/main" id="{140F6366-CCE6-DADD-94EF-248F251D6656}"/>
            </a:ext>
          </a:extLst>
        </xdr:cNvPr>
        <xdr:cNvCxnSpPr/>
      </xdr:nvCxnSpPr>
      <xdr:spPr>
        <a:xfrm>
          <a:off x="16459200" y="8039100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32</xdr:row>
      <xdr:rowOff>0</xdr:rowOff>
    </xdr:from>
    <xdr:to>
      <xdr:col>56</xdr:col>
      <xdr:colOff>0</xdr:colOff>
      <xdr:row>33</xdr:row>
      <xdr:rowOff>0</xdr:rowOff>
    </xdr:to>
    <xdr:cxnSp macro="">
      <xdr:nvCxnSpPr>
        <xdr:cNvPr id="447400" name="雷線30">
          <a:extLst>
            <a:ext uri="{FF2B5EF4-FFF2-40B4-BE49-F238E27FC236}">
              <a16:creationId xmlns:a16="http://schemas.microsoft.com/office/drawing/2014/main" id="{B515E71A-DB34-0F3F-706A-CCF4C8F9ED26}"/>
            </a:ext>
          </a:extLst>
        </xdr:cNvPr>
        <xdr:cNvCxnSpPr/>
      </xdr:nvCxnSpPr>
      <xdr:spPr>
        <a:xfrm>
          <a:off x="16459200" y="8039100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33</xdr:row>
      <xdr:rowOff>0</xdr:rowOff>
    </xdr:from>
    <xdr:to>
      <xdr:col>56</xdr:col>
      <xdr:colOff>0</xdr:colOff>
      <xdr:row>34</xdr:row>
      <xdr:rowOff>0</xdr:rowOff>
    </xdr:to>
    <xdr:cxnSp macro="">
      <xdr:nvCxnSpPr>
        <xdr:cNvPr id="447401" name="基準線31">
          <a:extLst>
            <a:ext uri="{FF2B5EF4-FFF2-40B4-BE49-F238E27FC236}">
              <a16:creationId xmlns:a16="http://schemas.microsoft.com/office/drawing/2014/main" id="{D12AD433-D3FC-A809-2884-962034F7DB65}"/>
            </a:ext>
          </a:extLst>
        </xdr:cNvPr>
        <xdr:cNvCxnSpPr/>
      </xdr:nvCxnSpPr>
      <xdr:spPr>
        <a:xfrm>
          <a:off x="16459200" y="8277225"/>
          <a:ext cx="0" cy="238125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33</xdr:row>
      <xdr:rowOff>0</xdr:rowOff>
    </xdr:from>
    <xdr:to>
      <xdr:col>56</xdr:col>
      <xdr:colOff>0</xdr:colOff>
      <xdr:row>34</xdr:row>
      <xdr:rowOff>0</xdr:rowOff>
    </xdr:to>
    <xdr:cxnSp macro="">
      <xdr:nvCxnSpPr>
        <xdr:cNvPr id="447402" name="雷線31">
          <a:extLst>
            <a:ext uri="{FF2B5EF4-FFF2-40B4-BE49-F238E27FC236}">
              <a16:creationId xmlns:a16="http://schemas.microsoft.com/office/drawing/2014/main" id="{54203A57-CA41-BA6C-1125-61372495B643}"/>
            </a:ext>
          </a:extLst>
        </xdr:cNvPr>
        <xdr:cNvCxnSpPr/>
      </xdr:nvCxnSpPr>
      <xdr:spPr>
        <a:xfrm>
          <a:off x="16459200" y="8277225"/>
          <a:ext cx="0" cy="238125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34</xdr:row>
      <xdr:rowOff>0</xdr:rowOff>
    </xdr:from>
    <xdr:to>
      <xdr:col>56</xdr:col>
      <xdr:colOff>0</xdr:colOff>
      <xdr:row>35</xdr:row>
      <xdr:rowOff>0</xdr:rowOff>
    </xdr:to>
    <xdr:cxnSp macro="">
      <xdr:nvCxnSpPr>
        <xdr:cNvPr id="447403" name="基準線">
          <a:extLst>
            <a:ext uri="{FF2B5EF4-FFF2-40B4-BE49-F238E27FC236}">
              <a16:creationId xmlns:a16="http://schemas.microsoft.com/office/drawing/2014/main" id="{1F61CDB9-0FF1-92E8-F5F9-F00EBB6997DF}"/>
            </a:ext>
          </a:extLst>
        </xdr:cNvPr>
        <xdr:cNvCxnSpPr/>
      </xdr:nvCxnSpPr>
      <xdr:spPr>
        <a:xfrm>
          <a:off x="16459200" y="8515350"/>
          <a:ext cx="0" cy="24765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34</xdr:row>
      <xdr:rowOff>0</xdr:rowOff>
    </xdr:from>
    <xdr:to>
      <xdr:col>56</xdr:col>
      <xdr:colOff>0</xdr:colOff>
      <xdr:row>35</xdr:row>
      <xdr:rowOff>0</xdr:rowOff>
    </xdr:to>
    <xdr:cxnSp macro="">
      <xdr:nvCxnSpPr>
        <xdr:cNvPr id="447404" name="雷線">
          <a:extLst>
            <a:ext uri="{FF2B5EF4-FFF2-40B4-BE49-F238E27FC236}">
              <a16:creationId xmlns:a16="http://schemas.microsoft.com/office/drawing/2014/main" id="{BA817210-A29F-8814-305A-C48691BCF0C3}"/>
            </a:ext>
          </a:extLst>
        </xdr:cNvPr>
        <xdr:cNvCxnSpPr/>
      </xdr:nvCxnSpPr>
      <xdr:spPr>
        <a:xfrm>
          <a:off x="16459200" y="8515350"/>
          <a:ext cx="0" cy="24765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22</xdr:row>
      <xdr:rowOff>0</xdr:rowOff>
    </xdr:from>
    <xdr:to>
      <xdr:col>56</xdr:col>
      <xdr:colOff>0</xdr:colOff>
      <xdr:row>23</xdr:row>
      <xdr:rowOff>0</xdr:rowOff>
    </xdr:to>
    <xdr:cxnSp macro="">
      <xdr:nvCxnSpPr>
        <xdr:cNvPr id="447405" name="基準線20">
          <a:extLst>
            <a:ext uri="{FF2B5EF4-FFF2-40B4-BE49-F238E27FC236}">
              <a16:creationId xmlns:a16="http://schemas.microsoft.com/office/drawing/2014/main" id="{F944C207-4C5A-E1DE-8D2E-1DB5D1E33021}"/>
            </a:ext>
          </a:extLst>
        </xdr:cNvPr>
        <xdr:cNvCxnSpPr/>
      </xdr:nvCxnSpPr>
      <xdr:spPr>
        <a:xfrm>
          <a:off x="16459200" y="5657850"/>
          <a:ext cx="0" cy="22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22</xdr:row>
      <xdr:rowOff>0</xdr:rowOff>
    </xdr:from>
    <xdr:to>
      <xdr:col>56</xdr:col>
      <xdr:colOff>0</xdr:colOff>
      <xdr:row>23</xdr:row>
      <xdr:rowOff>0</xdr:rowOff>
    </xdr:to>
    <xdr:cxnSp macro="">
      <xdr:nvCxnSpPr>
        <xdr:cNvPr id="447406" name="雷線20">
          <a:extLst>
            <a:ext uri="{FF2B5EF4-FFF2-40B4-BE49-F238E27FC236}">
              <a16:creationId xmlns:a16="http://schemas.microsoft.com/office/drawing/2014/main" id="{DBBFD460-DB6D-6F21-B99A-C5D1A7D4D011}"/>
            </a:ext>
          </a:extLst>
        </xdr:cNvPr>
        <xdr:cNvCxnSpPr/>
      </xdr:nvCxnSpPr>
      <xdr:spPr>
        <a:xfrm>
          <a:off x="16459200" y="5657850"/>
          <a:ext cx="0" cy="2286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3175</xdr:colOff>
      <xdr:row>35</xdr:row>
      <xdr:rowOff>0</xdr:rowOff>
    </xdr:from>
    <xdr:to>
      <xdr:col>56</xdr:col>
      <xdr:colOff>63500</xdr:colOff>
      <xdr:row>36</xdr:row>
      <xdr:rowOff>9525</xdr:rowOff>
    </xdr:to>
    <xdr:sp macro="" textlink="">
      <xdr:nvSpPr>
        <xdr:cNvPr id="447407" name="雷線END">
          <a:extLst>
            <a:ext uri="{FF2B5EF4-FFF2-40B4-BE49-F238E27FC236}">
              <a16:creationId xmlns:a16="http://schemas.microsoft.com/office/drawing/2014/main" id="{F0894959-BBD2-B049-011D-039EC104927A}"/>
            </a:ext>
          </a:extLst>
        </xdr:cNvPr>
        <xdr:cNvSpPr/>
      </xdr:nvSpPr>
      <xdr:spPr>
        <a:xfrm>
          <a:off x="16395700" y="8753475"/>
          <a:ext cx="127000" cy="247650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1D08-2497-49B7-BB3C-0A8E027917F3}">
  <sheetPr codeName="Sheet8"/>
  <dimension ref="A1:HQ520"/>
  <sheetViews>
    <sheetView zoomScaleNormal="100" zoomScalePageLayoutView="70" workbookViewId="0">
      <pane xSplit="27" ySplit="3" topLeftCell="AP4" activePane="bottomRight" state="frozen"/>
      <selection pane="topRight" activeCell="AE1" sqref="AE1"/>
      <selection pane="bottomLeft" activeCell="A4" sqref="A4"/>
      <selection pane="bottomRight" activeCell="V26" sqref="V26"/>
    </sheetView>
  </sheetViews>
  <sheetFormatPr defaultColWidth="2.75" defaultRowHeight="18.75" outlineLevelCol="1"/>
  <cols>
    <col min="1" max="1" width="5.125" style="104" customWidth="1"/>
    <col min="2" max="2" width="4.75" style="1" customWidth="1"/>
    <col min="3" max="3" width="7.375" style="1" hidden="1" customWidth="1"/>
    <col min="4" max="4" width="4.875" style="2" customWidth="1"/>
    <col min="5" max="12" width="3" style="54" customWidth="1"/>
    <col min="13" max="13" width="14.25" style="1" customWidth="1"/>
    <col min="14" max="14" width="10.375" style="55" customWidth="1"/>
    <col min="15" max="15" width="6.375" style="3" customWidth="1" outlineLevel="1"/>
    <col min="16" max="17" width="12.375" style="56" customWidth="1" outlineLevel="1"/>
    <col min="18" max="19" width="12.375" style="37" customWidth="1" outlineLevel="1"/>
    <col min="20" max="20" width="7.375" style="22" customWidth="1"/>
    <col min="21" max="21" width="9.125" style="31" customWidth="1" outlineLevel="1"/>
    <col min="22" max="23" width="6.5" style="31" customWidth="1" outlineLevel="1"/>
    <col min="24" max="24" width="6.625" style="22" customWidth="1"/>
    <col min="25" max="25" width="11.5" style="37" customWidth="1"/>
    <col min="26" max="26" width="6.625" style="31" customWidth="1"/>
    <col min="27" max="27" width="17.125" style="53" customWidth="1"/>
    <col min="28" max="211" width="0.875" style="8" customWidth="1"/>
    <col min="212" max="212" width="1.125" style="8" customWidth="1"/>
    <col min="216" max="16384" width="2.75" style="3"/>
  </cols>
  <sheetData>
    <row r="1" spans="1:225" ht="21" customHeight="1" thickBot="1">
      <c r="A1" s="104" t="s">
        <v>1</v>
      </c>
      <c r="F1" s="140" t="s">
        <v>76</v>
      </c>
      <c r="G1" s="141"/>
      <c r="M1" s="54"/>
      <c r="P1" s="36"/>
      <c r="Q1" s="36"/>
      <c r="U1" s="23"/>
      <c r="V1" s="23"/>
      <c r="Y1" s="49"/>
      <c r="Z1" s="24" t="s">
        <v>2</v>
      </c>
      <c r="AA1" s="4">
        <v>45136</v>
      </c>
      <c r="AB1" s="5" t="str">
        <f t="shared" ref="AB1" ca="1" si="0">IF(OFFSET(AB2,0,-1)="備考",MONTH(AB2) &amp; "/",IF(MONTH(AB2)=MONTH(OFFSET(AB2,0,-1)),"",MONTH(AB2) &amp; "/"))</f>
        <v>7/</v>
      </c>
      <c r="AC1" s="5" t="str">
        <f t="shared" ref="AC1" ca="1" si="1">IF(OFFSET(AC2,0,-1)="備考",MONTH(AC2) &amp; "/",IF(MONTH(AC2)=MONTH(OFFSET(AC2,0,-1)),"",MONTH(AC2) &amp; "/"))</f>
        <v/>
      </c>
      <c r="AD1" s="5" t="str">
        <f t="shared" ref="AD1" ca="1" si="2">IF(OFFSET(AD2,0,-1)="備考",MONTH(AD2) &amp; "/",IF(MONTH(AD2)=MONTH(OFFSET(AD2,0,-1)),"",MONTH(AD2) &amp; "/"))</f>
        <v/>
      </c>
      <c r="AE1" s="5" t="str">
        <f t="shared" ref="AE1" ca="1" si="3">IF(OFFSET(AE2,0,-1)="備考",MONTH(AE2) &amp; "/",IF(MONTH(AE2)=MONTH(OFFSET(AE2,0,-1)),"",MONTH(AE2) &amp; "/"))</f>
        <v/>
      </c>
      <c r="AF1" s="5" t="str">
        <f t="shared" ref="AF1" ca="1" si="4">IF(OFFSET(AF2,0,-1)="備考",MONTH(AF2) &amp; "/",IF(MONTH(AF2)=MONTH(OFFSET(AF2,0,-1)),"",MONTH(AF2) &amp; "/"))</f>
        <v/>
      </c>
      <c r="AG1" s="5" t="str">
        <f t="shared" ref="AG1" ca="1" si="5">IF(OFFSET(AG2,0,-1)="備考",MONTH(AG2) &amp; "/",IF(MONTH(AG2)=MONTH(OFFSET(AG2,0,-1)),"",MONTH(AG2) &amp; "/"))</f>
        <v/>
      </c>
      <c r="AH1" s="5" t="str">
        <f t="shared" ref="AH1" ca="1" si="6">IF(OFFSET(AH2,0,-1)="備考",MONTH(AH2) &amp; "/",IF(MONTH(AH2)=MONTH(OFFSET(AH2,0,-1)),"",MONTH(AH2) &amp; "/"))</f>
        <v/>
      </c>
      <c r="AI1" s="5" t="str">
        <f t="shared" ref="AI1" ca="1" si="7">IF(OFFSET(AI2,0,-1)="備考",MONTH(AI2) &amp; "/",IF(MONTH(AI2)=MONTH(OFFSET(AI2,0,-1)),"",MONTH(AI2) &amp; "/"))</f>
        <v/>
      </c>
      <c r="AJ1" s="5" t="str">
        <f t="shared" ref="AJ1" ca="1" si="8">IF(OFFSET(AJ2,0,-1)="備考",MONTH(AJ2) &amp; "/",IF(MONTH(AJ2)=MONTH(OFFSET(AJ2,0,-1)),"",MONTH(AJ2) &amp; "/"))</f>
        <v/>
      </c>
      <c r="AK1" s="5" t="str">
        <f t="shared" ref="AK1" ca="1" si="9">IF(OFFSET(AK2,0,-1)="備考",MONTH(AK2) &amp; "/",IF(MONTH(AK2)=MONTH(OFFSET(AK2,0,-1)),"",MONTH(AK2) &amp; "/"))</f>
        <v/>
      </c>
      <c r="AL1" s="5" t="str">
        <f t="shared" ref="AL1" ca="1" si="10">IF(OFFSET(AL2,0,-1)="備考",MONTH(AL2) &amp; "/",IF(MONTH(AL2)=MONTH(OFFSET(AL2,0,-1)),"",MONTH(AL2) &amp; "/"))</f>
        <v/>
      </c>
      <c r="AM1" s="5" t="str">
        <f t="shared" ref="AM1" ca="1" si="11">IF(OFFSET(AM2,0,-1)="備考",MONTH(AM2) &amp; "/",IF(MONTH(AM2)=MONTH(OFFSET(AM2,0,-1)),"",MONTH(AM2) &amp; "/"))</f>
        <v/>
      </c>
      <c r="AN1" s="5" t="str">
        <f t="shared" ref="AN1" ca="1" si="12">IF(OFFSET(AN2,0,-1)="備考",MONTH(AN2) &amp; "/",IF(MONTH(AN2)=MONTH(OFFSET(AN2,0,-1)),"",MONTH(AN2) &amp; "/"))</f>
        <v/>
      </c>
      <c r="AO1" s="5" t="str">
        <f t="shared" ref="AO1" ca="1" si="13">IF(OFFSET(AO2,0,-1)="備考",MONTH(AO2) &amp; "/",IF(MONTH(AO2)=MONTH(OFFSET(AO2,0,-1)),"",MONTH(AO2) &amp; "/"))</f>
        <v/>
      </c>
      <c r="AP1" s="5" t="str">
        <f t="shared" ref="AP1" ca="1" si="14">IF(OFFSET(AP2,0,-1)="備考",MONTH(AP2) &amp; "/",IF(MONTH(AP2)=MONTH(OFFSET(AP2,0,-1)),"",MONTH(AP2) &amp; "/"))</f>
        <v/>
      </c>
      <c r="AQ1" s="5" t="str">
        <f t="shared" ref="AQ1" ca="1" si="15">IF(OFFSET(AQ2,0,-1)="備考",MONTH(AQ2) &amp; "/",IF(MONTH(AQ2)=MONTH(OFFSET(AQ2,0,-1)),"",MONTH(AQ2) &amp; "/"))</f>
        <v/>
      </c>
      <c r="AR1" s="5" t="str">
        <f t="shared" ref="AR1" ca="1" si="16">IF(OFFSET(AR2,0,-1)="備考",MONTH(AR2) &amp; "/",IF(MONTH(AR2)=MONTH(OFFSET(AR2,0,-1)),"",MONTH(AR2) &amp; "/"))</f>
        <v/>
      </c>
      <c r="AS1" s="5" t="str">
        <f t="shared" ref="AS1" ca="1" si="17">IF(OFFSET(AS2,0,-1)="備考",MONTH(AS2) &amp; "/",IF(MONTH(AS2)=MONTH(OFFSET(AS2,0,-1)),"",MONTH(AS2) &amp; "/"))</f>
        <v/>
      </c>
      <c r="AT1" s="5" t="str">
        <f t="shared" ref="AT1" ca="1" si="18">IF(OFFSET(AT2,0,-1)="備考",MONTH(AT2) &amp; "/",IF(MONTH(AT2)=MONTH(OFFSET(AT2,0,-1)),"",MONTH(AT2) &amp; "/"))</f>
        <v/>
      </c>
      <c r="AU1" s="5" t="str">
        <f t="shared" ref="AU1" ca="1" si="19">IF(OFFSET(AU2,0,-1)="備考",MONTH(AU2) &amp; "/",IF(MONTH(AU2)=MONTH(OFFSET(AU2,0,-1)),"",MONTH(AU2) &amp; "/"))</f>
        <v/>
      </c>
      <c r="AV1" s="5" t="str">
        <f t="shared" ref="AV1" ca="1" si="20">IF(OFFSET(AV2,0,-1)="備考",MONTH(AV2) &amp; "/",IF(MONTH(AV2)=MONTH(OFFSET(AV2,0,-1)),"",MONTH(AV2) &amp; "/"))</f>
        <v/>
      </c>
      <c r="AW1" s="5" t="str">
        <f t="shared" ref="AW1" ca="1" si="21">IF(OFFSET(AW2,0,-1)="備考",MONTH(AW2) &amp; "/",IF(MONTH(AW2)=MONTH(OFFSET(AW2,0,-1)),"",MONTH(AW2) &amp; "/"))</f>
        <v/>
      </c>
      <c r="AX1" s="5" t="str">
        <f t="shared" ref="AX1" ca="1" si="22">IF(OFFSET(AX2,0,-1)="備考",MONTH(AX2) &amp; "/",IF(MONTH(AX2)=MONTH(OFFSET(AX2,0,-1)),"",MONTH(AX2) &amp; "/"))</f>
        <v/>
      </c>
      <c r="AY1" s="5" t="str">
        <f t="shared" ref="AY1" ca="1" si="23">IF(OFFSET(AY2,0,-1)="備考",MONTH(AY2) &amp; "/",IF(MONTH(AY2)=MONTH(OFFSET(AY2,0,-1)),"",MONTH(AY2) &amp; "/"))</f>
        <v/>
      </c>
      <c r="AZ1" s="5" t="str">
        <f t="shared" ref="AZ1" ca="1" si="24">IF(OFFSET(AZ2,0,-1)="備考",MONTH(AZ2) &amp; "/",IF(MONTH(AZ2)=MONTH(OFFSET(AZ2,0,-1)),"",MONTH(AZ2) &amp; "/"))</f>
        <v/>
      </c>
      <c r="BA1" s="5" t="str">
        <f t="shared" ref="BA1" ca="1" si="25">IF(OFFSET(BA2,0,-1)="備考",MONTH(BA2) &amp; "/",IF(MONTH(BA2)=MONTH(OFFSET(BA2,0,-1)),"",MONTH(BA2) &amp; "/"))</f>
        <v/>
      </c>
      <c r="BB1" s="5" t="str">
        <f t="shared" ref="BB1" ca="1" si="26">IF(OFFSET(BB2,0,-1)="備考",MONTH(BB2) &amp; "/",IF(MONTH(BB2)=MONTH(OFFSET(BB2,0,-1)),"",MONTH(BB2) &amp; "/"))</f>
        <v/>
      </c>
      <c r="BC1" s="5" t="str">
        <f t="shared" ref="BC1" ca="1" si="27">IF(OFFSET(BC2,0,-1)="備考",MONTH(BC2) &amp; "/",IF(MONTH(BC2)=MONTH(OFFSET(BC2,0,-1)),"",MONTH(BC2) &amp; "/"))</f>
        <v/>
      </c>
      <c r="BD1" s="5" t="str">
        <f t="shared" ref="BD1" ca="1" si="28">IF(OFFSET(BD2,0,-1)="備考",MONTH(BD2) &amp; "/",IF(MONTH(BD2)=MONTH(OFFSET(BD2,0,-1)),"",MONTH(BD2) &amp; "/"))</f>
        <v/>
      </c>
      <c r="BE1" s="5" t="str">
        <f t="shared" ref="BE1" ca="1" si="29">IF(OFFSET(BE2,0,-1)="備考",MONTH(BE2) &amp; "/",IF(MONTH(BE2)=MONTH(OFFSET(BE2,0,-1)),"",MONTH(BE2) &amp; "/"))</f>
        <v/>
      </c>
      <c r="BF1" s="5" t="str">
        <f t="shared" ref="BF1" ca="1" si="30">IF(OFFSET(BF2,0,-1)="備考",MONTH(BF2) &amp; "/",IF(MONTH(BF2)=MONTH(OFFSET(BF2,0,-1)),"",MONTH(BF2) &amp; "/"))</f>
        <v/>
      </c>
      <c r="BG1" s="5" t="str">
        <f t="shared" ref="BG1" ca="1" si="31">IF(OFFSET(BG2,0,-1)="備考",MONTH(BG2) &amp; "/",IF(MONTH(BG2)=MONTH(OFFSET(BG2,0,-1)),"",MONTH(BG2) &amp; "/"))</f>
        <v>8/</v>
      </c>
      <c r="BH1" s="5" t="str">
        <f t="shared" ref="BH1" ca="1" si="32">IF(OFFSET(BH2,0,-1)="備考",MONTH(BH2) &amp; "/",IF(MONTH(BH2)=MONTH(OFFSET(BH2,0,-1)),"",MONTH(BH2) &amp; "/"))</f>
        <v/>
      </c>
      <c r="BI1" s="5" t="str">
        <f t="shared" ref="BI1" ca="1" si="33">IF(OFFSET(BI2,0,-1)="備考",MONTH(BI2) &amp; "/",IF(MONTH(BI2)=MONTH(OFFSET(BI2,0,-1)),"",MONTH(BI2) &amp; "/"))</f>
        <v/>
      </c>
      <c r="BJ1" s="5" t="str">
        <f t="shared" ref="BJ1" ca="1" si="34">IF(OFFSET(BJ2,0,-1)="備考",MONTH(BJ2) &amp; "/",IF(MONTH(BJ2)=MONTH(OFFSET(BJ2,0,-1)),"",MONTH(BJ2) &amp; "/"))</f>
        <v/>
      </c>
      <c r="BK1" s="5" t="str">
        <f t="shared" ref="BK1" ca="1" si="35">IF(OFFSET(BK2,0,-1)="備考",MONTH(BK2) &amp; "/",IF(MONTH(BK2)=MONTH(OFFSET(BK2,0,-1)),"",MONTH(BK2) &amp; "/"))</f>
        <v/>
      </c>
      <c r="BL1" s="5" t="str">
        <f t="shared" ref="BL1" ca="1" si="36">IF(OFFSET(BL2,0,-1)="備考",MONTH(BL2) &amp; "/",IF(MONTH(BL2)=MONTH(OFFSET(BL2,0,-1)),"",MONTH(BL2) &amp; "/"))</f>
        <v/>
      </c>
      <c r="BM1" s="5" t="str">
        <f t="shared" ref="BM1" ca="1" si="37">IF(OFFSET(BM2,0,-1)="備考",MONTH(BM2) &amp; "/",IF(MONTH(BM2)=MONTH(OFFSET(BM2,0,-1)),"",MONTH(BM2) &amp; "/"))</f>
        <v/>
      </c>
      <c r="BN1" s="5" t="str">
        <f t="shared" ref="BN1" ca="1" si="38">IF(OFFSET(BN2,0,-1)="備考",MONTH(BN2) &amp; "/",IF(MONTH(BN2)=MONTH(OFFSET(BN2,0,-1)),"",MONTH(BN2) &amp; "/"))</f>
        <v/>
      </c>
      <c r="BO1" s="5" t="str">
        <f t="shared" ref="BO1" ca="1" si="39">IF(OFFSET(BO2,0,-1)="備考",MONTH(BO2) &amp; "/",IF(MONTH(BO2)=MONTH(OFFSET(BO2,0,-1)),"",MONTH(BO2) &amp; "/"))</f>
        <v/>
      </c>
      <c r="BP1" s="5" t="str">
        <f t="shared" ref="BP1" ca="1" si="40">IF(OFFSET(BP2,0,-1)="備考",MONTH(BP2) &amp; "/",IF(MONTH(BP2)=MONTH(OFFSET(BP2,0,-1)),"",MONTH(BP2) &amp; "/"))</f>
        <v/>
      </c>
      <c r="BQ1" s="5" t="str">
        <f t="shared" ref="BQ1" ca="1" si="41">IF(OFFSET(BQ2,0,-1)="備考",MONTH(BQ2) &amp; "/",IF(MONTH(BQ2)=MONTH(OFFSET(BQ2,0,-1)),"",MONTH(BQ2) &amp; "/"))</f>
        <v/>
      </c>
      <c r="BR1" s="5" t="str">
        <f t="shared" ref="BR1" ca="1" si="42">IF(OFFSET(BR2,0,-1)="備考",MONTH(BR2) &amp; "/",IF(MONTH(BR2)=MONTH(OFFSET(BR2,0,-1)),"",MONTH(BR2) &amp; "/"))</f>
        <v/>
      </c>
      <c r="BS1" s="5" t="str">
        <f t="shared" ref="BS1" ca="1" si="43">IF(OFFSET(BS2,0,-1)="備考",MONTH(BS2) &amp; "/",IF(MONTH(BS2)=MONTH(OFFSET(BS2,0,-1)),"",MONTH(BS2) &amp; "/"))</f>
        <v/>
      </c>
      <c r="BT1" s="5" t="str">
        <f t="shared" ref="BT1" ca="1" si="44">IF(OFFSET(BT2,0,-1)="備考",MONTH(BT2) &amp; "/",IF(MONTH(BT2)=MONTH(OFFSET(BT2,0,-1)),"",MONTH(BT2) &amp; "/"))</f>
        <v/>
      </c>
      <c r="BU1" s="5" t="str">
        <f t="shared" ref="BU1" ca="1" si="45">IF(OFFSET(BU2,0,-1)="備考",MONTH(BU2) &amp; "/",IF(MONTH(BU2)=MONTH(OFFSET(BU2,0,-1)),"",MONTH(BU2) &amp; "/"))</f>
        <v/>
      </c>
      <c r="BV1" s="5" t="str">
        <f t="shared" ref="BV1" ca="1" si="46">IF(OFFSET(BV2,0,-1)="備考",MONTH(BV2) &amp; "/",IF(MONTH(BV2)=MONTH(OFFSET(BV2,0,-1)),"",MONTH(BV2) &amp; "/"))</f>
        <v/>
      </c>
      <c r="BW1" s="5" t="str">
        <f t="shared" ref="BW1" ca="1" si="47">IF(OFFSET(BW2,0,-1)="備考",MONTH(BW2) &amp; "/",IF(MONTH(BW2)=MONTH(OFFSET(BW2,0,-1)),"",MONTH(BW2) &amp; "/"))</f>
        <v/>
      </c>
      <c r="BX1" s="5" t="str">
        <f t="shared" ref="BX1" ca="1" si="48">IF(OFFSET(BX2,0,-1)="備考",MONTH(BX2) &amp; "/",IF(MONTH(BX2)=MONTH(OFFSET(BX2,0,-1)),"",MONTH(BX2) &amp; "/"))</f>
        <v/>
      </c>
      <c r="BY1" s="5" t="str">
        <f t="shared" ref="BY1" ca="1" si="49">IF(OFFSET(BY2,0,-1)="備考",MONTH(BY2) &amp; "/",IF(MONTH(BY2)=MONTH(OFFSET(BY2,0,-1)),"",MONTH(BY2) &amp; "/"))</f>
        <v/>
      </c>
      <c r="BZ1" s="5" t="str">
        <f t="shared" ref="BZ1" ca="1" si="50">IF(OFFSET(BZ2,0,-1)="備考",MONTH(BZ2) &amp; "/",IF(MONTH(BZ2)=MONTH(OFFSET(BZ2,0,-1)),"",MONTH(BZ2) &amp; "/"))</f>
        <v/>
      </c>
      <c r="CA1" s="5" t="str">
        <f t="shared" ref="CA1" ca="1" si="51">IF(OFFSET(CA2,0,-1)="備考",MONTH(CA2) &amp; "/",IF(MONTH(CA2)=MONTH(OFFSET(CA2,0,-1)),"",MONTH(CA2) &amp; "/"))</f>
        <v/>
      </c>
      <c r="CB1" s="5" t="str">
        <f t="shared" ref="CB1" ca="1" si="52">IF(OFFSET(CB2,0,-1)="備考",MONTH(CB2) &amp; "/",IF(MONTH(CB2)=MONTH(OFFSET(CB2,0,-1)),"",MONTH(CB2) &amp; "/"))</f>
        <v/>
      </c>
      <c r="CC1" s="5" t="str">
        <f t="shared" ref="CC1" ca="1" si="53">IF(OFFSET(CC2,0,-1)="備考",MONTH(CC2) &amp; "/",IF(MONTH(CC2)=MONTH(OFFSET(CC2,0,-1)),"",MONTH(CC2) &amp; "/"))</f>
        <v/>
      </c>
      <c r="CD1" s="5" t="str">
        <f t="shared" ref="CD1" ca="1" si="54">IF(OFFSET(CD2,0,-1)="備考",MONTH(CD2) &amp; "/",IF(MONTH(CD2)=MONTH(OFFSET(CD2,0,-1)),"",MONTH(CD2) &amp; "/"))</f>
        <v/>
      </c>
      <c r="CE1" s="5" t="str">
        <f t="shared" ref="CE1" ca="1" si="55">IF(OFFSET(CE2,0,-1)="備考",MONTH(CE2) &amp; "/",IF(MONTH(CE2)=MONTH(OFFSET(CE2,0,-1)),"",MONTH(CE2) &amp; "/"))</f>
        <v/>
      </c>
      <c r="CF1" s="5" t="str">
        <f t="shared" ref="CF1" ca="1" si="56">IF(OFFSET(CF2,0,-1)="備考",MONTH(CF2) &amp; "/",IF(MONTH(CF2)=MONTH(OFFSET(CF2,0,-1)),"",MONTH(CF2) &amp; "/"))</f>
        <v/>
      </c>
      <c r="CG1" s="5" t="str">
        <f t="shared" ref="CG1" ca="1" si="57">IF(OFFSET(CG2,0,-1)="備考",MONTH(CG2) &amp; "/",IF(MONTH(CG2)=MONTH(OFFSET(CG2,0,-1)),"",MONTH(CG2) &amp; "/"))</f>
        <v/>
      </c>
      <c r="CH1" s="5" t="str">
        <f t="shared" ref="CH1" ca="1" si="58">IF(OFFSET(CH2,0,-1)="備考",MONTH(CH2) &amp; "/",IF(MONTH(CH2)=MONTH(OFFSET(CH2,0,-1)),"",MONTH(CH2) &amp; "/"))</f>
        <v/>
      </c>
      <c r="CI1" s="5" t="str">
        <f t="shared" ref="CI1" ca="1" si="59">IF(OFFSET(CI2,0,-1)="備考",MONTH(CI2) &amp; "/",IF(MONTH(CI2)=MONTH(OFFSET(CI2,0,-1)),"",MONTH(CI2) &amp; "/"))</f>
        <v/>
      </c>
      <c r="CJ1" s="5" t="str">
        <f t="shared" ref="CJ1" ca="1" si="60">IF(OFFSET(CJ2,0,-1)="備考",MONTH(CJ2) &amp; "/",IF(MONTH(CJ2)=MONTH(OFFSET(CJ2,0,-1)),"",MONTH(CJ2) &amp; "/"))</f>
        <v/>
      </c>
      <c r="CK1" s="5" t="str">
        <f t="shared" ref="CK1" ca="1" si="61">IF(OFFSET(CK2,0,-1)="備考",MONTH(CK2) &amp; "/",IF(MONTH(CK2)=MONTH(OFFSET(CK2,0,-1)),"",MONTH(CK2) &amp; "/"))</f>
        <v/>
      </c>
      <c r="CL1" s="5" t="str">
        <f t="shared" ref="CL1" ca="1" si="62">IF(OFFSET(CL2,0,-1)="備考",MONTH(CL2) &amp; "/",IF(MONTH(CL2)=MONTH(OFFSET(CL2,0,-1)),"",MONTH(CL2) &amp; "/"))</f>
        <v>9/</v>
      </c>
      <c r="CM1" s="5" t="str">
        <f t="shared" ref="CM1" ca="1" si="63">IF(OFFSET(CM2,0,-1)="備考",MONTH(CM2) &amp; "/",IF(MONTH(CM2)=MONTH(OFFSET(CM2,0,-1)),"",MONTH(CM2) &amp; "/"))</f>
        <v/>
      </c>
      <c r="CN1" s="5" t="str">
        <f t="shared" ref="CN1" ca="1" si="64">IF(OFFSET(CN2,0,-1)="備考",MONTH(CN2) &amp; "/",IF(MONTH(CN2)=MONTH(OFFSET(CN2,0,-1)),"",MONTH(CN2) &amp; "/"))</f>
        <v/>
      </c>
      <c r="CO1" s="5" t="str">
        <f t="shared" ref="CO1" ca="1" si="65">IF(OFFSET(CO2,0,-1)="備考",MONTH(CO2) &amp; "/",IF(MONTH(CO2)=MONTH(OFFSET(CO2,0,-1)),"",MONTH(CO2) &amp; "/"))</f>
        <v/>
      </c>
      <c r="CP1" s="5" t="str">
        <f t="shared" ref="CP1" ca="1" si="66">IF(OFFSET(CP2,0,-1)="備考",MONTH(CP2) &amp; "/",IF(MONTH(CP2)=MONTH(OFFSET(CP2,0,-1)),"",MONTH(CP2) &amp; "/"))</f>
        <v/>
      </c>
      <c r="CQ1" s="5" t="str">
        <f t="shared" ref="CQ1" ca="1" si="67">IF(OFFSET(CQ2,0,-1)="備考",MONTH(CQ2) &amp; "/",IF(MONTH(CQ2)=MONTH(OFFSET(CQ2,0,-1)),"",MONTH(CQ2) &amp; "/"))</f>
        <v/>
      </c>
      <c r="CR1" s="5" t="str">
        <f t="shared" ref="CR1" ca="1" si="68">IF(OFFSET(CR2,0,-1)="備考",MONTH(CR2) &amp; "/",IF(MONTH(CR2)=MONTH(OFFSET(CR2,0,-1)),"",MONTH(CR2) &amp; "/"))</f>
        <v/>
      </c>
      <c r="CS1" s="5" t="str">
        <f t="shared" ref="CS1" ca="1" si="69">IF(OFFSET(CS2,0,-1)="備考",MONTH(CS2) &amp; "/",IF(MONTH(CS2)=MONTH(OFFSET(CS2,0,-1)),"",MONTH(CS2) &amp; "/"))</f>
        <v/>
      </c>
      <c r="CT1" s="5" t="str">
        <f t="shared" ref="CT1" ca="1" si="70">IF(OFFSET(CT2,0,-1)="備考",MONTH(CT2) &amp; "/",IF(MONTH(CT2)=MONTH(OFFSET(CT2,0,-1)),"",MONTH(CT2) &amp; "/"))</f>
        <v/>
      </c>
      <c r="CU1" s="5" t="str">
        <f t="shared" ref="CU1" ca="1" si="71">IF(OFFSET(CU2,0,-1)="備考",MONTH(CU2) &amp; "/",IF(MONTH(CU2)=MONTH(OFFSET(CU2,0,-1)),"",MONTH(CU2) &amp; "/"))</f>
        <v/>
      </c>
      <c r="CV1" s="5" t="str">
        <f t="shared" ref="CV1" ca="1" si="72">IF(OFFSET(CV2,0,-1)="備考",MONTH(CV2) &amp; "/",IF(MONTH(CV2)=MONTH(OFFSET(CV2,0,-1)),"",MONTH(CV2) &amp; "/"))</f>
        <v/>
      </c>
      <c r="CW1" s="5" t="str">
        <f t="shared" ref="CW1" ca="1" si="73">IF(OFFSET(CW2,0,-1)="備考",MONTH(CW2) &amp; "/",IF(MONTH(CW2)=MONTH(OFFSET(CW2,0,-1)),"",MONTH(CW2) &amp; "/"))</f>
        <v/>
      </c>
      <c r="CX1" s="5" t="str">
        <f t="shared" ref="CX1" ca="1" si="74">IF(OFFSET(CX2,0,-1)="備考",MONTH(CX2) &amp; "/",IF(MONTH(CX2)=MONTH(OFFSET(CX2,0,-1)),"",MONTH(CX2) &amp; "/"))</f>
        <v/>
      </c>
      <c r="CY1" s="5" t="str">
        <f t="shared" ref="CY1" ca="1" si="75">IF(OFFSET(CY2,0,-1)="備考",MONTH(CY2) &amp; "/",IF(MONTH(CY2)=MONTH(OFFSET(CY2,0,-1)),"",MONTH(CY2) &amp; "/"))</f>
        <v/>
      </c>
      <c r="CZ1" s="5" t="str">
        <f t="shared" ref="CZ1" ca="1" si="76">IF(OFFSET(CZ2,0,-1)="備考",MONTH(CZ2) &amp; "/",IF(MONTH(CZ2)=MONTH(OFFSET(CZ2,0,-1)),"",MONTH(CZ2) &amp; "/"))</f>
        <v/>
      </c>
      <c r="DA1" s="5" t="str">
        <f t="shared" ref="DA1" ca="1" si="77">IF(OFFSET(DA2,0,-1)="備考",MONTH(DA2) &amp; "/",IF(MONTH(DA2)=MONTH(OFFSET(DA2,0,-1)),"",MONTH(DA2) &amp; "/"))</f>
        <v/>
      </c>
      <c r="DB1" s="5" t="str">
        <f t="shared" ref="DB1" ca="1" si="78">IF(OFFSET(DB2,0,-1)="備考",MONTH(DB2) &amp; "/",IF(MONTH(DB2)=MONTH(OFFSET(DB2,0,-1)),"",MONTH(DB2) &amp; "/"))</f>
        <v/>
      </c>
      <c r="DC1" s="5" t="str">
        <f t="shared" ref="DC1" ca="1" si="79">IF(OFFSET(DC2,0,-1)="備考",MONTH(DC2) &amp; "/",IF(MONTH(DC2)=MONTH(OFFSET(DC2,0,-1)),"",MONTH(DC2) &amp; "/"))</f>
        <v/>
      </c>
      <c r="DD1" s="5" t="str">
        <f t="shared" ref="DD1" ca="1" si="80">IF(OFFSET(DD2,0,-1)="備考",MONTH(DD2) &amp; "/",IF(MONTH(DD2)=MONTH(OFFSET(DD2,0,-1)),"",MONTH(DD2) &amp; "/"))</f>
        <v/>
      </c>
      <c r="DE1" s="5" t="str">
        <f t="shared" ref="DE1" ca="1" si="81">IF(OFFSET(DE2,0,-1)="備考",MONTH(DE2) &amp; "/",IF(MONTH(DE2)=MONTH(OFFSET(DE2,0,-1)),"",MONTH(DE2) &amp; "/"))</f>
        <v/>
      </c>
      <c r="DF1" s="5" t="str">
        <f t="shared" ref="DF1" ca="1" si="82">IF(OFFSET(DF2,0,-1)="備考",MONTH(DF2) &amp; "/",IF(MONTH(DF2)=MONTH(OFFSET(DF2,0,-1)),"",MONTH(DF2) &amp; "/"))</f>
        <v/>
      </c>
      <c r="DG1" s="5" t="str">
        <f t="shared" ref="DG1" ca="1" si="83">IF(OFFSET(DG2,0,-1)="備考",MONTH(DG2) &amp; "/",IF(MONTH(DG2)=MONTH(OFFSET(DG2,0,-1)),"",MONTH(DG2) &amp; "/"))</f>
        <v/>
      </c>
      <c r="DH1" s="5" t="str">
        <f t="shared" ref="DH1" ca="1" si="84">IF(OFFSET(DH2,0,-1)="備考",MONTH(DH2) &amp; "/",IF(MONTH(DH2)=MONTH(OFFSET(DH2,0,-1)),"",MONTH(DH2) &amp; "/"))</f>
        <v/>
      </c>
      <c r="DI1" s="5" t="str">
        <f t="shared" ref="DI1" ca="1" si="85">IF(OFFSET(DI2,0,-1)="備考",MONTH(DI2) &amp; "/",IF(MONTH(DI2)=MONTH(OFFSET(DI2,0,-1)),"",MONTH(DI2) &amp; "/"))</f>
        <v/>
      </c>
      <c r="DJ1" s="5" t="str">
        <f t="shared" ref="DJ1" ca="1" si="86">IF(OFFSET(DJ2,0,-1)="備考",MONTH(DJ2) &amp; "/",IF(MONTH(DJ2)=MONTH(OFFSET(DJ2,0,-1)),"",MONTH(DJ2) &amp; "/"))</f>
        <v/>
      </c>
      <c r="DK1" s="5" t="str">
        <f t="shared" ref="DK1" ca="1" si="87">IF(OFFSET(DK2,0,-1)="備考",MONTH(DK2) &amp; "/",IF(MONTH(DK2)=MONTH(OFFSET(DK2,0,-1)),"",MONTH(DK2) &amp; "/"))</f>
        <v/>
      </c>
      <c r="DL1" s="5" t="str">
        <f t="shared" ref="DL1" ca="1" si="88">IF(OFFSET(DL2,0,-1)="備考",MONTH(DL2) &amp; "/",IF(MONTH(DL2)=MONTH(OFFSET(DL2,0,-1)),"",MONTH(DL2) &amp; "/"))</f>
        <v/>
      </c>
      <c r="DM1" s="5" t="str">
        <f t="shared" ref="DM1" ca="1" si="89">IF(OFFSET(DM2,0,-1)="備考",MONTH(DM2) &amp; "/",IF(MONTH(DM2)=MONTH(OFFSET(DM2,0,-1)),"",MONTH(DM2) &amp; "/"))</f>
        <v/>
      </c>
      <c r="DN1" s="5" t="str">
        <f t="shared" ref="DN1" ca="1" si="90">IF(OFFSET(DN2,0,-1)="備考",MONTH(DN2) &amp; "/",IF(MONTH(DN2)=MONTH(OFFSET(DN2,0,-1)),"",MONTH(DN2) &amp; "/"))</f>
        <v/>
      </c>
      <c r="DO1" s="5" t="str">
        <f t="shared" ref="DO1" ca="1" si="91">IF(OFFSET(DO2,0,-1)="備考",MONTH(DO2) &amp; "/",IF(MONTH(DO2)=MONTH(OFFSET(DO2,0,-1)),"",MONTH(DO2) &amp; "/"))</f>
        <v/>
      </c>
      <c r="DP1" s="5" t="str">
        <f t="shared" ref="DP1" ca="1" si="92">IF(OFFSET(DP2,0,-1)="備考",MONTH(DP2) &amp; "/",IF(MONTH(DP2)=MONTH(OFFSET(DP2,0,-1)),"",MONTH(DP2) &amp; "/"))</f>
        <v>10/</v>
      </c>
      <c r="DQ1" s="5" t="str">
        <f t="shared" ref="DQ1" ca="1" si="93">IF(OFFSET(DQ2,0,-1)="備考",MONTH(DQ2) &amp; "/",IF(MONTH(DQ2)=MONTH(OFFSET(DQ2,0,-1)),"",MONTH(DQ2) &amp; "/"))</f>
        <v/>
      </c>
      <c r="DR1" s="5" t="str">
        <f t="shared" ref="DR1" ca="1" si="94">IF(OFFSET(DR2,0,-1)="備考",MONTH(DR2) &amp; "/",IF(MONTH(DR2)=MONTH(OFFSET(DR2,0,-1)),"",MONTH(DR2) &amp; "/"))</f>
        <v/>
      </c>
      <c r="DS1" s="5" t="str">
        <f t="shared" ref="DS1" ca="1" si="95">IF(OFFSET(DS2,0,-1)="備考",MONTH(DS2) &amp; "/",IF(MONTH(DS2)=MONTH(OFFSET(DS2,0,-1)),"",MONTH(DS2) &amp; "/"))</f>
        <v/>
      </c>
      <c r="DT1" s="5" t="str">
        <f t="shared" ref="DT1" ca="1" si="96">IF(OFFSET(DT2,0,-1)="備考",MONTH(DT2) &amp; "/",IF(MONTH(DT2)=MONTH(OFFSET(DT2,0,-1)),"",MONTH(DT2) &amp; "/"))</f>
        <v/>
      </c>
      <c r="DU1" s="5" t="str">
        <f t="shared" ref="DU1" ca="1" si="97">IF(OFFSET(DU2,0,-1)="備考",MONTH(DU2) &amp; "/",IF(MONTH(DU2)=MONTH(OFFSET(DU2,0,-1)),"",MONTH(DU2) &amp; "/"))</f>
        <v/>
      </c>
      <c r="DV1" s="5" t="str">
        <f t="shared" ref="DV1" ca="1" si="98">IF(OFFSET(DV2,0,-1)="備考",MONTH(DV2) &amp; "/",IF(MONTH(DV2)=MONTH(OFFSET(DV2,0,-1)),"",MONTH(DV2) &amp; "/"))</f>
        <v/>
      </c>
      <c r="DW1" s="5" t="str">
        <f t="shared" ref="DW1" ca="1" si="99">IF(OFFSET(DW2,0,-1)="備考",MONTH(DW2) &amp; "/",IF(MONTH(DW2)=MONTH(OFFSET(DW2,0,-1)),"",MONTH(DW2) &amp; "/"))</f>
        <v/>
      </c>
      <c r="DX1" s="5" t="str">
        <f t="shared" ref="DX1" ca="1" si="100">IF(OFFSET(DX2,0,-1)="備考",MONTH(DX2) &amp; "/",IF(MONTH(DX2)=MONTH(OFFSET(DX2,0,-1)),"",MONTH(DX2) &amp; "/"))</f>
        <v/>
      </c>
      <c r="DY1" s="5" t="str">
        <f t="shared" ref="DY1" ca="1" si="101">IF(OFFSET(DY2,0,-1)="備考",MONTH(DY2) &amp; "/",IF(MONTH(DY2)=MONTH(OFFSET(DY2,0,-1)),"",MONTH(DY2) &amp; "/"))</f>
        <v/>
      </c>
      <c r="DZ1" s="5" t="str">
        <f t="shared" ref="DZ1" ca="1" si="102">IF(OFFSET(DZ2,0,-1)="備考",MONTH(DZ2) &amp; "/",IF(MONTH(DZ2)=MONTH(OFFSET(DZ2,0,-1)),"",MONTH(DZ2) &amp; "/"))</f>
        <v/>
      </c>
      <c r="EA1" s="5" t="str">
        <f t="shared" ref="EA1" ca="1" si="103">IF(OFFSET(EA2,0,-1)="備考",MONTH(EA2) &amp; "/",IF(MONTH(EA2)=MONTH(OFFSET(EA2,0,-1)),"",MONTH(EA2) &amp; "/"))</f>
        <v/>
      </c>
      <c r="EB1" s="5" t="str">
        <f t="shared" ref="EB1" ca="1" si="104">IF(OFFSET(EB2,0,-1)="備考",MONTH(EB2) &amp; "/",IF(MONTH(EB2)=MONTH(OFFSET(EB2,0,-1)),"",MONTH(EB2) &amp; "/"))</f>
        <v/>
      </c>
      <c r="EC1" s="5" t="str">
        <f t="shared" ref="EC1" ca="1" si="105">IF(OFFSET(EC2,0,-1)="備考",MONTH(EC2) &amp; "/",IF(MONTH(EC2)=MONTH(OFFSET(EC2,0,-1)),"",MONTH(EC2) &amp; "/"))</f>
        <v/>
      </c>
      <c r="ED1" s="5" t="str">
        <f t="shared" ref="ED1" ca="1" si="106">IF(OFFSET(ED2,0,-1)="備考",MONTH(ED2) &amp; "/",IF(MONTH(ED2)=MONTH(OFFSET(ED2,0,-1)),"",MONTH(ED2) &amp; "/"))</f>
        <v/>
      </c>
      <c r="EE1" s="5" t="str">
        <f t="shared" ref="EE1" ca="1" si="107">IF(OFFSET(EE2,0,-1)="備考",MONTH(EE2) &amp; "/",IF(MONTH(EE2)=MONTH(OFFSET(EE2,0,-1)),"",MONTH(EE2) &amp; "/"))</f>
        <v/>
      </c>
      <c r="EF1" s="5" t="str">
        <f t="shared" ref="EF1" ca="1" si="108">IF(OFFSET(EF2,0,-1)="備考",MONTH(EF2) &amp; "/",IF(MONTH(EF2)=MONTH(OFFSET(EF2,0,-1)),"",MONTH(EF2) &amp; "/"))</f>
        <v/>
      </c>
      <c r="EG1" s="5" t="str">
        <f t="shared" ref="EG1" ca="1" si="109">IF(OFFSET(EG2,0,-1)="備考",MONTH(EG2) &amp; "/",IF(MONTH(EG2)=MONTH(OFFSET(EG2,0,-1)),"",MONTH(EG2) &amp; "/"))</f>
        <v/>
      </c>
      <c r="EH1" s="5" t="str">
        <f t="shared" ref="EH1" ca="1" si="110">IF(OFFSET(EH2,0,-1)="備考",MONTH(EH2) &amp; "/",IF(MONTH(EH2)=MONTH(OFFSET(EH2,0,-1)),"",MONTH(EH2) &amp; "/"))</f>
        <v/>
      </c>
      <c r="EI1" s="5" t="str">
        <f t="shared" ref="EI1" ca="1" si="111">IF(OFFSET(EI2,0,-1)="備考",MONTH(EI2) &amp; "/",IF(MONTH(EI2)=MONTH(OFFSET(EI2,0,-1)),"",MONTH(EI2) &amp; "/"))</f>
        <v/>
      </c>
      <c r="EJ1" s="5" t="str">
        <f t="shared" ref="EJ1" ca="1" si="112">IF(OFFSET(EJ2,0,-1)="備考",MONTH(EJ2) &amp; "/",IF(MONTH(EJ2)=MONTH(OFFSET(EJ2,0,-1)),"",MONTH(EJ2) &amp; "/"))</f>
        <v/>
      </c>
      <c r="EK1" s="5" t="str">
        <f t="shared" ref="EK1" ca="1" si="113">IF(OFFSET(EK2,0,-1)="備考",MONTH(EK2) &amp; "/",IF(MONTH(EK2)=MONTH(OFFSET(EK2,0,-1)),"",MONTH(EK2) &amp; "/"))</f>
        <v/>
      </c>
      <c r="EL1" s="5" t="str">
        <f t="shared" ref="EL1" ca="1" si="114">IF(OFFSET(EL2,0,-1)="備考",MONTH(EL2) &amp; "/",IF(MONTH(EL2)=MONTH(OFFSET(EL2,0,-1)),"",MONTH(EL2) &amp; "/"))</f>
        <v/>
      </c>
      <c r="EM1" s="5" t="str">
        <f t="shared" ref="EM1" ca="1" si="115">IF(OFFSET(EM2,0,-1)="備考",MONTH(EM2) &amp; "/",IF(MONTH(EM2)=MONTH(OFFSET(EM2,0,-1)),"",MONTH(EM2) &amp; "/"))</f>
        <v/>
      </c>
      <c r="EN1" s="5" t="str">
        <f t="shared" ref="EN1" ca="1" si="116">IF(OFFSET(EN2,0,-1)="備考",MONTH(EN2) &amp; "/",IF(MONTH(EN2)=MONTH(OFFSET(EN2,0,-1)),"",MONTH(EN2) &amp; "/"))</f>
        <v/>
      </c>
      <c r="EO1" s="5" t="str">
        <f t="shared" ref="EO1" ca="1" si="117">IF(OFFSET(EO2,0,-1)="備考",MONTH(EO2) &amp; "/",IF(MONTH(EO2)=MONTH(OFFSET(EO2,0,-1)),"",MONTH(EO2) &amp; "/"))</f>
        <v/>
      </c>
      <c r="EP1" s="5" t="str">
        <f t="shared" ref="EP1" ca="1" si="118">IF(OFFSET(EP2,0,-1)="備考",MONTH(EP2) &amp; "/",IF(MONTH(EP2)=MONTH(OFFSET(EP2,0,-1)),"",MONTH(EP2) &amp; "/"))</f>
        <v/>
      </c>
      <c r="EQ1" s="5" t="str">
        <f t="shared" ref="EQ1" ca="1" si="119">IF(OFFSET(EQ2,0,-1)="備考",MONTH(EQ2) &amp; "/",IF(MONTH(EQ2)=MONTH(OFFSET(EQ2,0,-1)),"",MONTH(EQ2) &amp; "/"))</f>
        <v/>
      </c>
      <c r="ER1" s="5" t="str">
        <f t="shared" ref="ER1" ca="1" si="120">IF(OFFSET(ER2,0,-1)="備考",MONTH(ER2) &amp; "/",IF(MONTH(ER2)=MONTH(OFFSET(ER2,0,-1)),"",MONTH(ER2) &amp; "/"))</f>
        <v/>
      </c>
      <c r="ES1" s="5" t="str">
        <f t="shared" ref="ES1" ca="1" si="121">IF(OFFSET(ES2,0,-1)="備考",MONTH(ES2) &amp; "/",IF(MONTH(ES2)=MONTH(OFFSET(ES2,0,-1)),"",MONTH(ES2) &amp; "/"))</f>
        <v/>
      </c>
      <c r="ET1" s="5" t="str">
        <f t="shared" ref="ET1:HC1" ca="1" si="122">IF(OFFSET(ET2,0,-1)="備考",MONTH(ET2) &amp; "/",IF(MONTH(ET2)=MONTH(OFFSET(ET2,0,-1)),"",MONTH(ET2) &amp; "/"))</f>
        <v/>
      </c>
      <c r="EU1" s="5" t="str">
        <f t="shared" ca="1" si="122"/>
        <v>11/</v>
      </c>
      <c r="EV1" s="5" t="str">
        <f t="shared" ca="1" si="122"/>
        <v/>
      </c>
      <c r="EW1" s="5" t="str">
        <f t="shared" ca="1" si="122"/>
        <v/>
      </c>
      <c r="EX1" s="5" t="str">
        <f t="shared" ca="1" si="122"/>
        <v/>
      </c>
      <c r="EY1" s="5" t="str">
        <f t="shared" ca="1" si="122"/>
        <v/>
      </c>
      <c r="EZ1" s="5" t="str">
        <f t="shared" ca="1" si="122"/>
        <v/>
      </c>
      <c r="FA1" s="5" t="str">
        <f t="shared" ca="1" si="122"/>
        <v/>
      </c>
      <c r="FB1" s="5" t="str">
        <f t="shared" ca="1" si="122"/>
        <v/>
      </c>
      <c r="FC1" s="5" t="str">
        <f t="shared" ca="1" si="122"/>
        <v/>
      </c>
      <c r="FD1" s="5" t="str">
        <f t="shared" ca="1" si="122"/>
        <v/>
      </c>
      <c r="FE1" s="5" t="str">
        <f t="shared" ca="1" si="122"/>
        <v/>
      </c>
      <c r="FF1" s="5" t="str">
        <f t="shared" ca="1" si="122"/>
        <v/>
      </c>
      <c r="FG1" s="5" t="str">
        <f t="shared" ca="1" si="122"/>
        <v/>
      </c>
      <c r="FH1" s="5" t="str">
        <f t="shared" ca="1" si="122"/>
        <v/>
      </c>
      <c r="FI1" s="5" t="str">
        <f t="shared" ca="1" si="122"/>
        <v/>
      </c>
      <c r="FJ1" s="5" t="str">
        <f t="shared" ca="1" si="122"/>
        <v/>
      </c>
      <c r="FK1" s="5" t="str">
        <f t="shared" ca="1" si="122"/>
        <v/>
      </c>
      <c r="FL1" s="5" t="str">
        <f t="shared" ca="1" si="122"/>
        <v/>
      </c>
      <c r="FM1" s="5" t="str">
        <f t="shared" ca="1" si="122"/>
        <v/>
      </c>
      <c r="FN1" s="5" t="str">
        <f t="shared" ca="1" si="122"/>
        <v/>
      </c>
      <c r="FO1" s="5" t="str">
        <f t="shared" ca="1" si="122"/>
        <v/>
      </c>
      <c r="FP1" s="5" t="str">
        <f t="shared" ca="1" si="122"/>
        <v/>
      </c>
      <c r="FQ1" s="5" t="str">
        <f t="shared" ca="1" si="122"/>
        <v/>
      </c>
      <c r="FR1" s="5" t="str">
        <f t="shared" ca="1" si="122"/>
        <v/>
      </c>
      <c r="FS1" s="5" t="str">
        <f t="shared" ca="1" si="122"/>
        <v/>
      </c>
      <c r="FT1" s="5" t="str">
        <f t="shared" ca="1" si="122"/>
        <v/>
      </c>
      <c r="FU1" s="5" t="str">
        <f t="shared" ca="1" si="122"/>
        <v/>
      </c>
      <c r="FV1" s="5" t="str">
        <f t="shared" ca="1" si="122"/>
        <v/>
      </c>
      <c r="FW1" s="5" t="str">
        <f t="shared" ca="1" si="122"/>
        <v/>
      </c>
      <c r="FX1" s="5" t="str">
        <f t="shared" ca="1" si="122"/>
        <v/>
      </c>
      <c r="FY1" s="5" t="str">
        <f t="shared" ca="1" si="122"/>
        <v>12/</v>
      </c>
      <c r="FZ1" s="5" t="str">
        <f t="shared" ca="1" si="122"/>
        <v/>
      </c>
      <c r="GA1" s="5" t="str">
        <f t="shared" ca="1" si="122"/>
        <v/>
      </c>
      <c r="GB1" s="5" t="str">
        <f t="shared" ca="1" si="122"/>
        <v/>
      </c>
      <c r="GC1" s="5" t="str">
        <f t="shared" ca="1" si="122"/>
        <v/>
      </c>
      <c r="GD1" s="5" t="str">
        <f t="shared" ca="1" si="122"/>
        <v/>
      </c>
      <c r="GE1" s="5" t="str">
        <f t="shared" ca="1" si="122"/>
        <v/>
      </c>
      <c r="GF1" s="5" t="str">
        <f t="shared" ca="1" si="122"/>
        <v/>
      </c>
      <c r="GG1" s="5" t="str">
        <f t="shared" ca="1" si="122"/>
        <v/>
      </c>
      <c r="GH1" s="5" t="str">
        <f t="shared" ca="1" si="122"/>
        <v/>
      </c>
      <c r="GI1" s="5" t="str">
        <f t="shared" ca="1" si="122"/>
        <v/>
      </c>
      <c r="GJ1" s="5" t="str">
        <f t="shared" ca="1" si="122"/>
        <v/>
      </c>
      <c r="GK1" s="5" t="str">
        <f t="shared" ca="1" si="122"/>
        <v/>
      </c>
      <c r="GL1" s="5" t="str">
        <f t="shared" ca="1" si="122"/>
        <v/>
      </c>
      <c r="GM1" s="5" t="str">
        <f t="shared" ca="1" si="122"/>
        <v/>
      </c>
      <c r="GN1" s="5" t="str">
        <f t="shared" ca="1" si="122"/>
        <v/>
      </c>
      <c r="GO1" s="5" t="str">
        <f t="shared" ca="1" si="122"/>
        <v/>
      </c>
      <c r="GP1" s="5" t="str">
        <f t="shared" ca="1" si="122"/>
        <v/>
      </c>
      <c r="GQ1" s="5" t="str">
        <f t="shared" ca="1" si="122"/>
        <v/>
      </c>
      <c r="GR1" s="5" t="str">
        <f t="shared" ca="1" si="122"/>
        <v/>
      </c>
      <c r="GS1" s="5" t="str">
        <f t="shared" ca="1" si="122"/>
        <v/>
      </c>
      <c r="GT1" s="5" t="str">
        <f t="shared" ca="1" si="122"/>
        <v/>
      </c>
      <c r="GU1" s="5" t="str">
        <f t="shared" ca="1" si="122"/>
        <v/>
      </c>
      <c r="GV1" s="5" t="str">
        <f t="shared" ca="1" si="122"/>
        <v/>
      </c>
      <c r="GW1" s="5" t="str">
        <f t="shared" ca="1" si="122"/>
        <v/>
      </c>
      <c r="GX1" s="5" t="str">
        <f t="shared" ca="1" si="122"/>
        <v/>
      </c>
      <c r="GY1" s="5" t="str">
        <f t="shared" ca="1" si="122"/>
        <v/>
      </c>
      <c r="GZ1" s="5" t="str">
        <f t="shared" ca="1" si="122"/>
        <v/>
      </c>
      <c r="HA1" s="5" t="str">
        <f t="shared" ca="1" si="122"/>
        <v/>
      </c>
      <c r="HB1" s="5" t="str">
        <f t="shared" ca="1" si="122"/>
        <v/>
      </c>
      <c r="HC1" s="5" t="str">
        <f t="shared" ca="1" si="122"/>
        <v/>
      </c>
      <c r="HD1" s="6"/>
    </row>
    <row r="2" spans="1:225" ht="54" customHeight="1">
      <c r="A2" s="105" t="s">
        <v>3</v>
      </c>
      <c r="B2" s="13" t="s">
        <v>4</v>
      </c>
      <c r="C2" s="13" t="s">
        <v>59</v>
      </c>
      <c r="D2" s="35" t="s">
        <v>63</v>
      </c>
      <c r="E2" s="142" t="s">
        <v>5</v>
      </c>
      <c r="F2" s="143"/>
      <c r="G2" s="143"/>
      <c r="H2" s="143"/>
      <c r="I2" s="143"/>
      <c r="J2" s="143"/>
      <c r="K2" s="143"/>
      <c r="L2" s="143"/>
      <c r="M2" s="144"/>
      <c r="N2" s="17" t="s">
        <v>0</v>
      </c>
      <c r="O2" s="17" t="s">
        <v>6</v>
      </c>
      <c r="P2" s="138" t="s">
        <v>7</v>
      </c>
      <c r="Q2" s="139"/>
      <c r="R2" s="38" t="s">
        <v>8</v>
      </c>
      <c r="S2" s="39"/>
      <c r="T2" s="91" t="s">
        <v>9</v>
      </c>
      <c r="U2" s="14" t="s">
        <v>10</v>
      </c>
      <c r="V2" s="14" t="s">
        <v>11</v>
      </c>
      <c r="W2" s="14" t="s">
        <v>12</v>
      </c>
      <c r="X2" s="44" t="s">
        <v>62</v>
      </c>
      <c r="Y2" s="44" t="s">
        <v>60</v>
      </c>
      <c r="Z2" s="44" t="s">
        <v>61</v>
      </c>
      <c r="AA2" s="51" t="s">
        <v>13</v>
      </c>
      <c r="AB2" s="11">
        <v>45108</v>
      </c>
      <c r="AC2" s="11">
        <v>45109</v>
      </c>
      <c r="AD2" s="136">
        <v>45110</v>
      </c>
      <c r="AE2" s="136">
        <v>45111</v>
      </c>
      <c r="AF2" s="136">
        <v>45112</v>
      </c>
      <c r="AG2" s="136">
        <v>45113</v>
      </c>
      <c r="AH2" s="136">
        <v>45114</v>
      </c>
      <c r="AI2" s="11">
        <v>45115</v>
      </c>
      <c r="AJ2" s="11">
        <v>45116</v>
      </c>
      <c r="AK2" s="136">
        <v>45117</v>
      </c>
      <c r="AL2" s="136">
        <v>45118</v>
      </c>
      <c r="AM2" s="136">
        <v>45119</v>
      </c>
      <c r="AN2" s="136">
        <v>45120</v>
      </c>
      <c r="AO2" s="136">
        <v>45121</v>
      </c>
      <c r="AP2" s="11">
        <v>45122</v>
      </c>
      <c r="AQ2" s="11">
        <v>45123</v>
      </c>
      <c r="AR2" s="11">
        <v>45124</v>
      </c>
      <c r="AS2" s="136">
        <v>45125</v>
      </c>
      <c r="AT2" s="136">
        <v>45126</v>
      </c>
      <c r="AU2" s="136">
        <v>45127</v>
      </c>
      <c r="AV2" s="136">
        <v>45128</v>
      </c>
      <c r="AW2" s="11">
        <v>45129</v>
      </c>
      <c r="AX2" s="11">
        <v>45130</v>
      </c>
      <c r="AY2" s="136">
        <v>45131</v>
      </c>
      <c r="AZ2" s="136">
        <v>45132</v>
      </c>
      <c r="BA2" s="136">
        <v>45133</v>
      </c>
      <c r="BB2" s="136">
        <v>45134</v>
      </c>
      <c r="BC2" s="136">
        <v>45135</v>
      </c>
      <c r="BD2" s="11">
        <v>45136</v>
      </c>
      <c r="BE2" s="11">
        <v>45137</v>
      </c>
      <c r="BF2" s="136">
        <v>45138</v>
      </c>
      <c r="BG2" s="136">
        <v>45139</v>
      </c>
      <c r="BH2" s="136">
        <v>45140</v>
      </c>
      <c r="BI2" s="136">
        <v>45141</v>
      </c>
      <c r="BJ2" s="136">
        <v>45142</v>
      </c>
      <c r="BK2" s="11">
        <v>45143</v>
      </c>
      <c r="BL2" s="11">
        <v>45144</v>
      </c>
      <c r="BM2" s="136">
        <v>45145</v>
      </c>
      <c r="BN2" s="136">
        <v>45146</v>
      </c>
      <c r="BO2" s="136">
        <v>45147</v>
      </c>
      <c r="BP2" s="136">
        <v>45148</v>
      </c>
      <c r="BQ2" s="11">
        <v>45149</v>
      </c>
      <c r="BR2" s="11">
        <v>45150</v>
      </c>
      <c r="BS2" s="11">
        <v>45151</v>
      </c>
      <c r="BT2" s="136">
        <v>45152</v>
      </c>
      <c r="BU2" s="136">
        <v>45153</v>
      </c>
      <c r="BV2" s="136">
        <v>45154</v>
      </c>
      <c r="BW2" s="136">
        <v>45155</v>
      </c>
      <c r="BX2" s="136">
        <v>45156</v>
      </c>
      <c r="BY2" s="11">
        <v>45157</v>
      </c>
      <c r="BZ2" s="11">
        <v>45158</v>
      </c>
      <c r="CA2" s="136">
        <v>45159</v>
      </c>
      <c r="CB2" s="136">
        <v>45160</v>
      </c>
      <c r="CC2" s="136">
        <v>45161</v>
      </c>
      <c r="CD2" s="136">
        <v>45162</v>
      </c>
      <c r="CE2" s="136">
        <v>45163</v>
      </c>
      <c r="CF2" s="11">
        <v>45164</v>
      </c>
      <c r="CG2" s="11">
        <v>45165</v>
      </c>
      <c r="CH2" s="136">
        <v>45166</v>
      </c>
      <c r="CI2" s="136">
        <v>45167</v>
      </c>
      <c r="CJ2" s="136">
        <v>45168</v>
      </c>
      <c r="CK2" s="136">
        <v>45169</v>
      </c>
      <c r="CL2" s="136">
        <v>45170</v>
      </c>
      <c r="CM2" s="11">
        <v>45171</v>
      </c>
      <c r="CN2" s="11">
        <v>45172</v>
      </c>
      <c r="CO2" s="136">
        <v>45173</v>
      </c>
      <c r="CP2" s="136">
        <v>45174</v>
      </c>
      <c r="CQ2" s="136">
        <v>45175</v>
      </c>
      <c r="CR2" s="136">
        <v>45176</v>
      </c>
      <c r="CS2" s="136">
        <v>45177</v>
      </c>
      <c r="CT2" s="11">
        <v>45178</v>
      </c>
      <c r="CU2" s="11">
        <v>45179</v>
      </c>
      <c r="CV2" s="136">
        <v>45180</v>
      </c>
      <c r="CW2" s="136">
        <v>45181</v>
      </c>
      <c r="CX2" s="136">
        <v>45182</v>
      </c>
      <c r="CY2" s="136">
        <v>45183</v>
      </c>
      <c r="CZ2" s="136">
        <v>45184</v>
      </c>
      <c r="DA2" s="11">
        <v>45185</v>
      </c>
      <c r="DB2" s="11">
        <v>45186</v>
      </c>
      <c r="DC2" s="11">
        <v>45187</v>
      </c>
      <c r="DD2" s="136">
        <v>45188</v>
      </c>
      <c r="DE2" s="136">
        <v>45189</v>
      </c>
      <c r="DF2" s="136">
        <v>45190</v>
      </c>
      <c r="DG2" s="136">
        <v>45191</v>
      </c>
      <c r="DH2" s="11">
        <v>45192</v>
      </c>
      <c r="DI2" s="11">
        <v>45193</v>
      </c>
      <c r="DJ2" s="136">
        <v>45194</v>
      </c>
      <c r="DK2" s="136">
        <v>45195</v>
      </c>
      <c r="DL2" s="136">
        <v>45196</v>
      </c>
      <c r="DM2" s="136">
        <v>45197</v>
      </c>
      <c r="DN2" s="136">
        <v>45198</v>
      </c>
      <c r="DO2" s="11">
        <v>45199</v>
      </c>
      <c r="DP2" s="11">
        <v>45200</v>
      </c>
      <c r="DQ2" s="136">
        <v>45201</v>
      </c>
      <c r="DR2" s="136">
        <v>45202</v>
      </c>
      <c r="DS2" s="136">
        <v>45203</v>
      </c>
      <c r="DT2" s="136">
        <v>45204</v>
      </c>
      <c r="DU2" s="136">
        <v>45205</v>
      </c>
      <c r="DV2" s="11">
        <v>45206</v>
      </c>
      <c r="DW2" s="11">
        <v>45207</v>
      </c>
      <c r="DX2" s="11">
        <v>45208</v>
      </c>
      <c r="DY2" s="136">
        <v>45209</v>
      </c>
      <c r="DZ2" s="136">
        <v>45210</v>
      </c>
      <c r="EA2" s="136">
        <v>45211</v>
      </c>
      <c r="EB2" s="136">
        <v>45212</v>
      </c>
      <c r="EC2" s="11">
        <v>45213</v>
      </c>
      <c r="ED2" s="11">
        <v>45214</v>
      </c>
      <c r="EE2" s="136">
        <v>45215</v>
      </c>
      <c r="EF2" s="136">
        <v>45216</v>
      </c>
      <c r="EG2" s="136">
        <v>45217</v>
      </c>
      <c r="EH2" s="136">
        <v>45218</v>
      </c>
      <c r="EI2" s="136">
        <v>45219</v>
      </c>
      <c r="EJ2" s="11">
        <v>45220</v>
      </c>
      <c r="EK2" s="11">
        <v>45221</v>
      </c>
      <c r="EL2" s="136">
        <v>45222</v>
      </c>
      <c r="EM2" s="136">
        <v>45223</v>
      </c>
      <c r="EN2" s="136">
        <v>45224</v>
      </c>
      <c r="EO2" s="136">
        <v>45225</v>
      </c>
      <c r="EP2" s="136">
        <v>45226</v>
      </c>
      <c r="EQ2" s="11">
        <v>45227</v>
      </c>
      <c r="ER2" s="11">
        <v>45228</v>
      </c>
      <c r="ES2" s="136">
        <v>45229</v>
      </c>
      <c r="ET2" s="136">
        <v>45230</v>
      </c>
      <c r="EU2" s="136">
        <v>45231</v>
      </c>
      <c r="EV2" s="136">
        <v>45232</v>
      </c>
      <c r="EW2" s="11">
        <v>45233</v>
      </c>
      <c r="EX2" s="11">
        <v>45234</v>
      </c>
      <c r="EY2" s="11">
        <v>45235</v>
      </c>
      <c r="EZ2" s="136">
        <v>45236</v>
      </c>
      <c r="FA2" s="136">
        <v>45237</v>
      </c>
      <c r="FB2" s="136">
        <v>45238</v>
      </c>
      <c r="FC2" s="136">
        <v>45239</v>
      </c>
      <c r="FD2" s="136">
        <v>45240</v>
      </c>
      <c r="FE2" s="11">
        <v>45241</v>
      </c>
      <c r="FF2" s="11">
        <v>45242</v>
      </c>
      <c r="FG2" s="136">
        <v>45243</v>
      </c>
      <c r="FH2" s="136">
        <v>45244</v>
      </c>
      <c r="FI2" s="136">
        <v>45245</v>
      </c>
      <c r="FJ2" s="136">
        <v>45246</v>
      </c>
      <c r="FK2" s="136">
        <v>45247</v>
      </c>
      <c r="FL2" s="11">
        <v>45248</v>
      </c>
      <c r="FM2" s="11">
        <v>45249</v>
      </c>
      <c r="FN2" s="136">
        <v>45250</v>
      </c>
      <c r="FO2" s="136">
        <v>45251</v>
      </c>
      <c r="FP2" s="136">
        <v>45252</v>
      </c>
      <c r="FQ2" s="11">
        <v>45253</v>
      </c>
      <c r="FR2" s="136">
        <v>45254</v>
      </c>
      <c r="FS2" s="11">
        <v>45255</v>
      </c>
      <c r="FT2" s="11">
        <v>45256</v>
      </c>
      <c r="FU2" s="136">
        <v>45257</v>
      </c>
      <c r="FV2" s="136">
        <v>45258</v>
      </c>
      <c r="FW2" s="136">
        <v>45259</v>
      </c>
      <c r="FX2" s="136">
        <v>45260</v>
      </c>
      <c r="FY2" s="136">
        <v>45261</v>
      </c>
      <c r="FZ2" s="11">
        <v>45262</v>
      </c>
      <c r="GA2" s="11">
        <v>45263</v>
      </c>
      <c r="GB2" s="136">
        <v>45264</v>
      </c>
      <c r="GC2" s="136">
        <v>45265</v>
      </c>
      <c r="GD2" s="136">
        <v>45266</v>
      </c>
      <c r="GE2" s="136">
        <v>45267</v>
      </c>
      <c r="GF2" s="136">
        <v>45268</v>
      </c>
      <c r="GG2" s="11">
        <v>45269</v>
      </c>
      <c r="GH2" s="11">
        <v>45270</v>
      </c>
      <c r="GI2" s="136">
        <v>45271</v>
      </c>
      <c r="GJ2" s="136">
        <v>45272</v>
      </c>
      <c r="GK2" s="136">
        <v>45273</v>
      </c>
      <c r="GL2" s="136">
        <v>45274</v>
      </c>
      <c r="GM2" s="136">
        <v>45275</v>
      </c>
      <c r="GN2" s="11">
        <v>45276</v>
      </c>
      <c r="GO2" s="11">
        <v>45277</v>
      </c>
      <c r="GP2" s="136">
        <v>45278</v>
      </c>
      <c r="GQ2" s="136">
        <v>45279</v>
      </c>
      <c r="GR2" s="136">
        <v>45280</v>
      </c>
      <c r="GS2" s="136">
        <v>45281</v>
      </c>
      <c r="GT2" s="136">
        <v>45282</v>
      </c>
      <c r="GU2" s="11">
        <v>45283</v>
      </c>
      <c r="GV2" s="11">
        <v>45284</v>
      </c>
      <c r="GW2" s="136">
        <v>45285</v>
      </c>
      <c r="GX2" s="136">
        <v>45286</v>
      </c>
      <c r="GY2" s="136">
        <v>45287</v>
      </c>
      <c r="GZ2" s="136">
        <v>45288</v>
      </c>
      <c r="HA2" s="136">
        <v>45289</v>
      </c>
      <c r="HB2" s="11">
        <v>45290</v>
      </c>
      <c r="HC2" s="11">
        <v>45291</v>
      </c>
      <c r="HD2" s="7"/>
    </row>
    <row r="3" spans="1:225" ht="18" customHeight="1">
      <c r="A3" s="106"/>
      <c r="B3" s="15"/>
      <c r="C3" s="15"/>
      <c r="D3" s="18"/>
      <c r="E3" s="32" t="s">
        <v>77</v>
      </c>
      <c r="F3" s="33" t="s">
        <v>78</v>
      </c>
      <c r="G3" s="33" t="s">
        <v>79</v>
      </c>
      <c r="H3" s="33" t="s">
        <v>80</v>
      </c>
      <c r="I3" s="33" t="s">
        <v>81</v>
      </c>
      <c r="J3" s="33" t="s">
        <v>82</v>
      </c>
      <c r="K3" s="33" t="s">
        <v>83</v>
      </c>
      <c r="L3" s="33" t="s">
        <v>84</v>
      </c>
      <c r="M3" s="34" t="s">
        <v>76</v>
      </c>
      <c r="N3" s="19"/>
      <c r="O3" s="20" t="s">
        <v>14</v>
      </c>
      <c r="P3" s="92" t="s">
        <v>15</v>
      </c>
      <c r="Q3" s="93" t="s">
        <v>16</v>
      </c>
      <c r="R3" s="94" t="s">
        <v>15</v>
      </c>
      <c r="S3" s="95" t="s">
        <v>16</v>
      </c>
      <c r="T3" s="96"/>
      <c r="U3" s="16"/>
      <c r="V3" s="21"/>
      <c r="W3" s="21"/>
      <c r="X3" s="40"/>
      <c r="Y3" s="40"/>
      <c r="Z3" s="45"/>
      <c r="AA3" s="52"/>
      <c r="AB3" s="12">
        <f t="shared" ref="AB3:AL3" si="123">AB2</f>
        <v>45108</v>
      </c>
      <c r="AC3" s="12">
        <f t="shared" si="123"/>
        <v>45109</v>
      </c>
      <c r="AD3" s="137">
        <f t="shared" si="123"/>
        <v>45110</v>
      </c>
      <c r="AE3" s="137">
        <f t="shared" si="123"/>
        <v>45111</v>
      </c>
      <c r="AF3" s="137">
        <f t="shared" si="123"/>
        <v>45112</v>
      </c>
      <c r="AG3" s="137">
        <f t="shared" si="123"/>
        <v>45113</v>
      </c>
      <c r="AH3" s="137">
        <f t="shared" si="123"/>
        <v>45114</v>
      </c>
      <c r="AI3" s="12">
        <f t="shared" si="123"/>
        <v>45115</v>
      </c>
      <c r="AJ3" s="12">
        <f t="shared" si="123"/>
        <v>45116</v>
      </c>
      <c r="AK3" s="137">
        <f t="shared" si="123"/>
        <v>45117</v>
      </c>
      <c r="AL3" s="137">
        <f t="shared" si="123"/>
        <v>45118</v>
      </c>
      <c r="AM3" s="137">
        <f t="shared" ref="AM3:CX3" si="124">AM2</f>
        <v>45119</v>
      </c>
      <c r="AN3" s="137">
        <f t="shared" si="124"/>
        <v>45120</v>
      </c>
      <c r="AO3" s="137">
        <f t="shared" si="124"/>
        <v>45121</v>
      </c>
      <c r="AP3" s="12">
        <f t="shared" si="124"/>
        <v>45122</v>
      </c>
      <c r="AQ3" s="12">
        <f t="shared" si="124"/>
        <v>45123</v>
      </c>
      <c r="AR3" s="12">
        <f t="shared" si="124"/>
        <v>45124</v>
      </c>
      <c r="AS3" s="137">
        <f t="shared" si="124"/>
        <v>45125</v>
      </c>
      <c r="AT3" s="137">
        <f t="shared" si="124"/>
        <v>45126</v>
      </c>
      <c r="AU3" s="137">
        <f t="shared" si="124"/>
        <v>45127</v>
      </c>
      <c r="AV3" s="137">
        <f t="shared" si="124"/>
        <v>45128</v>
      </c>
      <c r="AW3" s="12">
        <f t="shared" si="124"/>
        <v>45129</v>
      </c>
      <c r="AX3" s="12">
        <f t="shared" si="124"/>
        <v>45130</v>
      </c>
      <c r="AY3" s="137">
        <f t="shared" si="124"/>
        <v>45131</v>
      </c>
      <c r="AZ3" s="137">
        <f t="shared" si="124"/>
        <v>45132</v>
      </c>
      <c r="BA3" s="137">
        <f t="shared" si="124"/>
        <v>45133</v>
      </c>
      <c r="BB3" s="137">
        <f t="shared" si="124"/>
        <v>45134</v>
      </c>
      <c r="BC3" s="137">
        <f t="shared" si="124"/>
        <v>45135</v>
      </c>
      <c r="BD3" s="12">
        <f t="shared" si="124"/>
        <v>45136</v>
      </c>
      <c r="BE3" s="12">
        <f t="shared" si="124"/>
        <v>45137</v>
      </c>
      <c r="BF3" s="137">
        <f t="shared" si="124"/>
        <v>45138</v>
      </c>
      <c r="BG3" s="137">
        <f t="shared" si="124"/>
        <v>45139</v>
      </c>
      <c r="BH3" s="137">
        <f t="shared" si="124"/>
        <v>45140</v>
      </c>
      <c r="BI3" s="137">
        <f t="shared" si="124"/>
        <v>45141</v>
      </c>
      <c r="BJ3" s="137">
        <f t="shared" si="124"/>
        <v>45142</v>
      </c>
      <c r="BK3" s="12">
        <f t="shared" si="124"/>
        <v>45143</v>
      </c>
      <c r="BL3" s="12">
        <f t="shared" si="124"/>
        <v>45144</v>
      </c>
      <c r="BM3" s="137">
        <f t="shared" si="124"/>
        <v>45145</v>
      </c>
      <c r="BN3" s="137">
        <f t="shared" si="124"/>
        <v>45146</v>
      </c>
      <c r="BO3" s="137">
        <f t="shared" si="124"/>
        <v>45147</v>
      </c>
      <c r="BP3" s="137">
        <f t="shared" si="124"/>
        <v>45148</v>
      </c>
      <c r="BQ3" s="12">
        <f t="shared" si="124"/>
        <v>45149</v>
      </c>
      <c r="BR3" s="12">
        <f t="shared" si="124"/>
        <v>45150</v>
      </c>
      <c r="BS3" s="12">
        <f t="shared" si="124"/>
        <v>45151</v>
      </c>
      <c r="BT3" s="137">
        <f t="shared" si="124"/>
        <v>45152</v>
      </c>
      <c r="BU3" s="137">
        <f t="shared" si="124"/>
        <v>45153</v>
      </c>
      <c r="BV3" s="137">
        <f t="shared" si="124"/>
        <v>45154</v>
      </c>
      <c r="BW3" s="137">
        <f t="shared" si="124"/>
        <v>45155</v>
      </c>
      <c r="BX3" s="137">
        <f t="shared" si="124"/>
        <v>45156</v>
      </c>
      <c r="BY3" s="12">
        <f t="shared" si="124"/>
        <v>45157</v>
      </c>
      <c r="BZ3" s="12">
        <f t="shared" si="124"/>
        <v>45158</v>
      </c>
      <c r="CA3" s="137">
        <f t="shared" si="124"/>
        <v>45159</v>
      </c>
      <c r="CB3" s="137">
        <f t="shared" si="124"/>
        <v>45160</v>
      </c>
      <c r="CC3" s="137">
        <f t="shared" si="124"/>
        <v>45161</v>
      </c>
      <c r="CD3" s="137">
        <f t="shared" si="124"/>
        <v>45162</v>
      </c>
      <c r="CE3" s="137">
        <f t="shared" si="124"/>
        <v>45163</v>
      </c>
      <c r="CF3" s="12">
        <f t="shared" si="124"/>
        <v>45164</v>
      </c>
      <c r="CG3" s="12">
        <f t="shared" si="124"/>
        <v>45165</v>
      </c>
      <c r="CH3" s="137">
        <f t="shared" si="124"/>
        <v>45166</v>
      </c>
      <c r="CI3" s="137">
        <f t="shared" si="124"/>
        <v>45167</v>
      </c>
      <c r="CJ3" s="137">
        <f t="shared" si="124"/>
        <v>45168</v>
      </c>
      <c r="CK3" s="137">
        <f t="shared" si="124"/>
        <v>45169</v>
      </c>
      <c r="CL3" s="137">
        <f t="shared" si="124"/>
        <v>45170</v>
      </c>
      <c r="CM3" s="12">
        <f t="shared" si="124"/>
        <v>45171</v>
      </c>
      <c r="CN3" s="12">
        <f t="shared" si="124"/>
        <v>45172</v>
      </c>
      <c r="CO3" s="137">
        <f t="shared" si="124"/>
        <v>45173</v>
      </c>
      <c r="CP3" s="137">
        <f t="shared" si="124"/>
        <v>45174</v>
      </c>
      <c r="CQ3" s="137">
        <f t="shared" si="124"/>
        <v>45175</v>
      </c>
      <c r="CR3" s="137">
        <f t="shared" si="124"/>
        <v>45176</v>
      </c>
      <c r="CS3" s="137">
        <f t="shared" si="124"/>
        <v>45177</v>
      </c>
      <c r="CT3" s="12">
        <f t="shared" si="124"/>
        <v>45178</v>
      </c>
      <c r="CU3" s="12">
        <f t="shared" si="124"/>
        <v>45179</v>
      </c>
      <c r="CV3" s="137">
        <f t="shared" si="124"/>
        <v>45180</v>
      </c>
      <c r="CW3" s="137">
        <f t="shared" si="124"/>
        <v>45181</v>
      </c>
      <c r="CX3" s="137">
        <f t="shared" si="124"/>
        <v>45182</v>
      </c>
      <c r="CY3" s="137">
        <f t="shared" ref="CY3:ET3" si="125">CY2</f>
        <v>45183</v>
      </c>
      <c r="CZ3" s="137">
        <f t="shared" si="125"/>
        <v>45184</v>
      </c>
      <c r="DA3" s="12">
        <f t="shared" si="125"/>
        <v>45185</v>
      </c>
      <c r="DB3" s="12">
        <f t="shared" si="125"/>
        <v>45186</v>
      </c>
      <c r="DC3" s="12">
        <f t="shared" si="125"/>
        <v>45187</v>
      </c>
      <c r="DD3" s="137">
        <f t="shared" si="125"/>
        <v>45188</v>
      </c>
      <c r="DE3" s="137">
        <f t="shared" si="125"/>
        <v>45189</v>
      </c>
      <c r="DF3" s="137">
        <f t="shared" si="125"/>
        <v>45190</v>
      </c>
      <c r="DG3" s="137">
        <f t="shared" si="125"/>
        <v>45191</v>
      </c>
      <c r="DH3" s="12">
        <f t="shared" si="125"/>
        <v>45192</v>
      </c>
      <c r="DI3" s="12">
        <f t="shared" si="125"/>
        <v>45193</v>
      </c>
      <c r="DJ3" s="137">
        <f t="shared" si="125"/>
        <v>45194</v>
      </c>
      <c r="DK3" s="137">
        <f t="shared" si="125"/>
        <v>45195</v>
      </c>
      <c r="DL3" s="137">
        <f t="shared" si="125"/>
        <v>45196</v>
      </c>
      <c r="DM3" s="137">
        <f t="shared" si="125"/>
        <v>45197</v>
      </c>
      <c r="DN3" s="137">
        <f t="shared" si="125"/>
        <v>45198</v>
      </c>
      <c r="DO3" s="12">
        <f t="shared" si="125"/>
        <v>45199</v>
      </c>
      <c r="DP3" s="12">
        <f t="shared" si="125"/>
        <v>45200</v>
      </c>
      <c r="DQ3" s="137">
        <f t="shared" si="125"/>
        <v>45201</v>
      </c>
      <c r="DR3" s="137">
        <f t="shared" si="125"/>
        <v>45202</v>
      </c>
      <c r="DS3" s="137">
        <f t="shared" si="125"/>
        <v>45203</v>
      </c>
      <c r="DT3" s="137">
        <f t="shared" si="125"/>
        <v>45204</v>
      </c>
      <c r="DU3" s="137">
        <f t="shared" si="125"/>
        <v>45205</v>
      </c>
      <c r="DV3" s="12">
        <f t="shared" si="125"/>
        <v>45206</v>
      </c>
      <c r="DW3" s="12">
        <f t="shared" si="125"/>
        <v>45207</v>
      </c>
      <c r="DX3" s="12">
        <f t="shared" si="125"/>
        <v>45208</v>
      </c>
      <c r="DY3" s="137">
        <f t="shared" si="125"/>
        <v>45209</v>
      </c>
      <c r="DZ3" s="137">
        <f t="shared" si="125"/>
        <v>45210</v>
      </c>
      <c r="EA3" s="137">
        <f t="shared" si="125"/>
        <v>45211</v>
      </c>
      <c r="EB3" s="137">
        <f t="shared" si="125"/>
        <v>45212</v>
      </c>
      <c r="EC3" s="12">
        <f t="shared" si="125"/>
        <v>45213</v>
      </c>
      <c r="ED3" s="12">
        <f t="shared" si="125"/>
        <v>45214</v>
      </c>
      <c r="EE3" s="137">
        <f t="shared" si="125"/>
        <v>45215</v>
      </c>
      <c r="EF3" s="137">
        <f t="shared" si="125"/>
        <v>45216</v>
      </c>
      <c r="EG3" s="137">
        <f t="shared" si="125"/>
        <v>45217</v>
      </c>
      <c r="EH3" s="137">
        <f t="shared" si="125"/>
        <v>45218</v>
      </c>
      <c r="EI3" s="137">
        <f t="shared" si="125"/>
        <v>45219</v>
      </c>
      <c r="EJ3" s="12">
        <f t="shared" si="125"/>
        <v>45220</v>
      </c>
      <c r="EK3" s="12">
        <f t="shared" si="125"/>
        <v>45221</v>
      </c>
      <c r="EL3" s="137">
        <f t="shared" si="125"/>
        <v>45222</v>
      </c>
      <c r="EM3" s="137">
        <f t="shared" si="125"/>
        <v>45223</v>
      </c>
      <c r="EN3" s="137">
        <f t="shared" si="125"/>
        <v>45224</v>
      </c>
      <c r="EO3" s="137">
        <f t="shared" si="125"/>
        <v>45225</v>
      </c>
      <c r="EP3" s="137">
        <f t="shared" si="125"/>
        <v>45226</v>
      </c>
      <c r="EQ3" s="12">
        <f t="shared" si="125"/>
        <v>45227</v>
      </c>
      <c r="ER3" s="12">
        <f t="shared" si="125"/>
        <v>45228</v>
      </c>
      <c r="ES3" s="137">
        <f t="shared" si="125"/>
        <v>45229</v>
      </c>
      <c r="ET3" s="137">
        <f t="shared" si="125"/>
        <v>45230</v>
      </c>
      <c r="EU3" s="137">
        <f t="shared" ref="EU3:HC3" si="126">EU2</f>
        <v>45231</v>
      </c>
      <c r="EV3" s="137">
        <f t="shared" si="126"/>
        <v>45232</v>
      </c>
      <c r="EW3" s="12">
        <f t="shared" si="126"/>
        <v>45233</v>
      </c>
      <c r="EX3" s="12">
        <f t="shared" si="126"/>
        <v>45234</v>
      </c>
      <c r="EY3" s="12">
        <f t="shared" si="126"/>
        <v>45235</v>
      </c>
      <c r="EZ3" s="137">
        <f t="shared" si="126"/>
        <v>45236</v>
      </c>
      <c r="FA3" s="137">
        <f t="shared" si="126"/>
        <v>45237</v>
      </c>
      <c r="FB3" s="137">
        <f t="shared" si="126"/>
        <v>45238</v>
      </c>
      <c r="FC3" s="137">
        <f t="shared" si="126"/>
        <v>45239</v>
      </c>
      <c r="FD3" s="137">
        <f t="shared" si="126"/>
        <v>45240</v>
      </c>
      <c r="FE3" s="12">
        <f t="shared" si="126"/>
        <v>45241</v>
      </c>
      <c r="FF3" s="12">
        <f t="shared" si="126"/>
        <v>45242</v>
      </c>
      <c r="FG3" s="137">
        <f t="shared" si="126"/>
        <v>45243</v>
      </c>
      <c r="FH3" s="137">
        <f t="shared" si="126"/>
        <v>45244</v>
      </c>
      <c r="FI3" s="137">
        <f t="shared" si="126"/>
        <v>45245</v>
      </c>
      <c r="FJ3" s="137">
        <f t="shared" si="126"/>
        <v>45246</v>
      </c>
      <c r="FK3" s="137">
        <f t="shared" si="126"/>
        <v>45247</v>
      </c>
      <c r="FL3" s="12">
        <f t="shared" si="126"/>
        <v>45248</v>
      </c>
      <c r="FM3" s="12">
        <f t="shared" si="126"/>
        <v>45249</v>
      </c>
      <c r="FN3" s="137">
        <f t="shared" si="126"/>
        <v>45250</v>
      </c>
      <c r="FO3" s="137">
        <f t="shared" si="126"/>
        <v>45251</v>
      </c>
      <c r="FP3" s="137">
        <f t="shared" si="126"/>
        <v>45252</v>
      </c>
      <c r="FQ3" s="12">
        <f t="shared" si="126"/>
        <v>45253</v>
      </c>
      <c r="FR3" s="137">
        <f t="shared" si="126"/>
        <v>45254</v>
      </c>
      <c r="FS3" s="12">
        <f t="shared" si="126"/>
        <v>45255</v>
      </c>
      <c r="FT3" s="12">
        <f t="shared" si="126"/>
        <v>45256</v>
      </c>
      <c r="FU3" s="137">
        <f t="shared" si="126"/>
        <v>45257</v>
      </c>
      <c r="FV3" s="137">
        <f t="shared" si="126"/>
        <v>45258</v>
      </c>
      <c r="FW3" s="137">
        <f t="shared" si="126"/>
        <v>45259</v>
      </c>
      <c r="FX3" s="137">
        <f t="shared" si="126"/>
        <v>45260</v>
      </c>
      <c r="FY3" s="137">
        <f t="shared" si="126"/>
        <v>45261</v>
      </c>
      <c r="FZ3" s="12">
        <f t="shared" si="126"/>
        <v>45262</v>
      </c>
      <c r="GA3" s="12">
        <f t="shared" si="126"/>
        <v>45263</v>
      </c>
      <c r="GB3" s="137">
        <f t="shared" si="126"/>
        <v>45264</v>
      </c>
      <c r="GC3" s="137">
        <f t="shared" si="126"/>
        <v>45265</v>
      </c>
      <c r="GD3" s="137">
        <f t="shared" si="126"/>
        <v>45266</v>
      </c>
      <c r="GE3" s="137">
        <f t="shared" si="126"/>
        <v>45267</v>
      </c>
      <c r="GF3" s="137">
        <f t="shared" si="126"/>
        <v>45268</v>
      </c>
      <c r="GG3" s="12">
        <f t="shared" si="126"/>
        <v>45269</v>
      </c>
      <c r="GH3" s="12">
        <f t="shared" si="126"/>
        <v>45270</v>
      </c>
      <c r="GI3" s="137">
        <f t="shared" si="126"/>
        <v>45271</v>
      </c>
      <c r="GJ3" s="137">
        <f t="shared" si="126"/>
        <v>45272</v>
      </c>
      <c r="GK3" s="137">
        <f t="shared" si="126"/>
        <v>45273</v>
      </c>
      <c r="GL3" s="137">
        <f t="shared" si="126"/>
        <v>45274</v>
      </c>
      <c r="GM3" s="137">
        <f t="shared" si="126"/>
        <v>45275</v>
      </c>
      <c r="GN3" s="12">
        <f t="shared" si="126"/>
        <v>45276</v>
      </c>
      <c r="GO3" s="12">
        <f t="shared" si="126"/>
        <v>45277</v>
      </c>
      <c r="GP3" s="137">
        <f t="shared" si="126"/>
        <v>45278</v>
      </c>
      <c r="GQ3" s="137">
        <f t="shared" si="126"/>
        <v>45279</v>
      </c>
      <c r="GR3" s="137">
        <f t="shared" si="126"/>
        <v>45280</v>
      </c>
      <c r="GS3" s="137">
        <f t="shared" si="126"/>
        <v>45281</v>
      </c>
      <c r="GT3" s="137">
        <f t="shared" si="126"/>
        <v>45282</v>
      </c>
      <c r="GU3" s="12">
        <f t="shared" si="126"/>
        <v>45283</v>
      </c>
      <c r="GV3" s="12">
        <f t="shared" si="126"/>
        <v>45284</v>
      </c>
      <c r="GW3" s="137">
        <f t="shared" si="126"/>
        <v>45285</v>
      </c>
      <c r="GX3" s="137">
        <f t="shared" si="126"/>
        <v>45286</v>
      </c>
      <c r="GY3" s="137">
        <f t="shared" si="126"/>
        <v>45287</v>
      </c>
      <c r="GZ3" s="137">
        <f t="shared" si="126"/>
        <v>45288</v>
      </c>
      <c r="HA3" s="137">
        <f t="shared" si="126"/>
        <v>45289</v>
      </c>
      <c r="HB3" s="12">
        <f t="shared" si="126"/>
        <v>45290</v>
      </c>
      <c r="HC3" s="12">
        <f t="shared" si="126"/>
        <v>45291</v>
      </c>
      <c r="HD3" s="7"/>
    </row>
    <row r="4" spans="1:225" s="77" customFormat="1" ht="18">
      <c r="A4" s="107">
        <f>ROW()-ROW($A$3)</f>
        <v>1</v>
      </c>
      <c r="B4" s="79">
        <v>1</v>
      </c>
      <c r="C4" s="79"/>
      <c r="D4" s="79"/>
      <c r="E4" s="68" t="s">
        <v>87</v>
      </c>
      <c r="F4" s="69"/>
      <c r="G4" s="69"/>
      <c r="H4" s="69"/>
      <c r="I4" s="69"/>
      <c r="J4" s="69"/>
      <c r="K4" s="69"/>
      <c r="L4" s="69"/>
      <c r="M4" s="70"/>
      <c r="N4" s="71"/>
      <c r="O4" s="65">
        <f>SUM(O$5)</f>
        <v>0.5</v>
      </c>
      <c r="P4" s="66">
        <f>IF(MIN(P$5)=0,"",MIN(P$5))</f>
        <v>45119</v>
      </c>
      <c r="Q4" s="67">
        <f>IF(MAX(Q$5)=0,"",MAX(Q$5))</f>
        <v>45119</v>
      </c>
      <c r="R4" s="97" t="str">
        <f>IF(MIN(R$5)=0,"",MIN(R$5))</f>
        <v/>
      </c>
      <c r="S4" s="98" t="str">
        <f>IF($T4&lt;&gt;1,"",IF(MAX(S$5)=0,"",MAX(S$5)))</f>
        <v/>
      </c>
      <c r="T4" s="43">
        <f>IF($O4=0,0,$W4/$O4)</f>
        <v>0</v>
      </c>
      <c r="U4" s="72">
        <v>1</v>
      </c>
      <c r="V4" s="72">
        <f>SUM(V$5)</f>
        <v>0.5</v>
      </c>
      <c r="W4" s="72">
        <f>SUM(W$5)</f>
        <v>0</v>
      </c>
      <c r="X4" s="42">
        <f t="shared" ref="X4:X10" si="127">IF($V4=0,0,$W4/$V4)</f>
        <v>0</v>
      </c>
      <c r="Y4" s="50">
        <v>45118</v>
      </c>
      <c r="Z4" s="47">
        <f t="shared" ref="Z4:Z10" si="128">雷線基準日-$Y4</f>
        <v>18</v>
      </c>
      <c r="AA4" s="82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 t="s">
        <v>72</v>
      </c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1"/>
      <c r="HH4" s="78"/>
      <c r="HI4" s="78"/>
      <c r="HJ4" s="78"/>
      <c r="HK4" s="78"/>
      <c r="HL4" s="78"/>
      <c r="HM4" s="78"/>
      <c r="HN4" s="78"/>
      <c r="HO4" s="78"/>
      <c r="HP4" s="78"/>
      <c r="HQ4" s="78"/>
    </row>
    <row r="5" spans="1:225" customFormat="1">
      <c r="A5" s="108">
        <f t="shared" ref="A5:A26" si="129">ROW()-ROW($A$3)</f>
        <v>2</v>
      </c>
      <c r="B5" s="109">
        <v>2</v>
      </c>
      <c r="C5" s="109"/>
      <c r="D5" s="109"/>
      <c r="E5" s="110"/>
      <c r="F5" s="111" t="s">
        <v>89</v>
      </c>
      <c r="G5" s="111"/>
      <c r="H5" s="111"/>
      <c r="I5" s="111"/>
      <c r="J5" s="111"/>
      <c r="K5" s="111"/>
      <c r="L5" s="111"/>
      <c r="M5" s="112"/>
      <c r="N5" s="113" t="s">
        <v>90</v>
      </c>
      <c r="O5" s="41">
        <v>0.5</v>
      </c>
      <c r="P5" s="114">
        <v>45119</v>
      </c>
      <c r="Q5" s="115">
        <v>45119</v>
      </c>
      <c r="R5" s="99"/>
      <c r="S5" s="100"/>
      <c r="T5" s="101"/>
      <c r="U5" s="27">
        <v>1</v>
      </c>
      <c r="V5" s="27">
        <v>0.5</v>
      </c>
      <c r="W5" s="27">
        <v>0</v>
      </c>
      <c r="X5" s="26">
        <f t="shared" si="127"/>
        <v>0</v>
      </c>
      <c r="Y5" s="116">
        <v>45118</v>
      </c>
      <c r="Z5" s="46">
        <f t="shared" si="128"/>
        <v>18</v>
      </c>
      <c r="AA5" s="73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 t="s">
        <v>57</v>
      </c>
      <c r="AN5" s="117"/>
      <c r="AO5" s="117"/>
      <c r="AP5" s="117"/>
      <c r="AQ5" s="117"/>
      <c r="AR5" s="117"/>
      <c r="AS5" s="117"/>
      <c r="AT5" s="117"/>
      <c r="AU5" s="117"/>
      <c r="AV5" s="117"/>
      <c r="AW5" s="117"/>
      <c r="AX5" s="117"/>
      <c r="AY5" s="117"/>
      <c r="AZ5" s="117"/>
      <c r="BA5" s="117"/>
      <c r="BB5" s="117"/>
      <c r="BC5" s="117"/>
      <c r="BD5" s="117"/>
      <c r="BE5" s="117"/>
      <c r="BF5" s="117"/>
      <c r="BG5" s="117"/>
      <c r="BH5" s="117"/>
      <c r="BI5" s="117"/>
      <c r="BJ5" s="117"/>
      <c r="BK5" s="117"/>
      <c r="BL5" s="117"/>
      <c r="BM5" s="117"/>
      <c r="BN5" s="117"/>
      <c r="BO5" s="117"/>
      <c r="BP5" s="117"/>
      <c r="BQ5" s="117"/>
      <c r="BR5" s="117"/>
      <c r="BS5" s="117"/>
      <c r="BT5" s="117"/>
      <c r="BU5" s="117"/>
      <c r="BV5" s="117"/>
      <c r="BW5" s="117"/>
      <c r="BX5" s="117"/>
      <c r="BY5" s="117"/>
      <c r="BZ5" s="117"/>
      <c r="CA5" s="117"/>
      <c r="CB5" s="117"/>
      <c r="CC5" s="117"/>
      <c r="CD5" s="117"/>
      <c r="CE5" s="117"/>
      <c r="CF5" s="117"/>
      <c r="CG5" s="117"/>
      <c r="CH5" s="117"/>
      <c r="CI5" s="117"/>
      <c r="CJ5" s="117"/>
      <c r="CK5" s="117"/>
      <c r="CL5" s="117"/>
      <c r="CM5" s="117"/>
      <c r="CN5" s="117"/>
      <c r="CO5" s="117"/>
      <c r="CP5" s="117"/>
      <c r="CQ5" s="117"/>
      <c r="CR5" s="117"/>
      <c r="CS5" s="117"/>
      <c r="CT5" s="117"/>
      <c r="CU5" s="117"/>
      <c r="CV5" s="117"/>
      <c r="CW5" s="117"/>
      <c r="CX5" s="117"/>
      <c r="CY5" s="117"/>
      <c r="CZ5" s="117"/>
      <c r="DA5" s="117"/>
      <c r="DB5" s="117"/>
      <c r="DC5" s="117"/>
      <c r="DD5" s="117"/>
      <c r="DE5" s="117"/>
      <c r="DF5" s="117"/>
      <c r="DG5" s="117"/>
      <c r="DH5" s="117"/>
      <c r="DI5" s="117"/>
      <c r="DJ5" s="117"/>
      <c r="DK5" s="117"/>
      <c r="DL5" s="117"/>
      <c r="DM5" s="117"/>
      <c r="DN5" s="117"/>
      <c r="DO5" s="117"/>
      <c r="DP5" s="117"/>
      <c r="DQ5" s="117"/>
      <c r="DR5" s="117"/>
      <c r="DS5" s="117"/>
      <c r="DT5" s="117"/>
      <c r="DU5" s="117"/>
      <c r="DV5" s="117"/>
      <c r="DW5" s="117"/>
      <c r="DX5" s="117"/>
      <c r="DY5" s="117"/>
      <c r="DZ5" s="117"/>
      <c r="EA5" s="117"/>
      <c r="EB5" s="117"/>
      <c r="EC5" s="117"/>
      <c r="ED5" s="117"/>
      <c r="EE5" s="117"/>
      <c r="EF5" s="117"/>
      <c r="EG5" s="117"/>
      <c r="EH5" s="117"/>
      <c r="EI5" s="117"/>
      <c r="EJ5" s="117"/>
      <c r="EK5" s="117"/>
      <c r="EL5" s="117"/>
      <c r="EM5" s="117"/>
      <c r="EN5" s="117"/>
      <c r="EO5" s="117"/>
      <c r="EP5" s="117"/>
      <c r="EQ5" s="117"/>
      <c r="ER5" s="117"/>
      <c r="ES5" s="117"/>
      <c r="ET5" s="117"/>
      <c r="EU5" s="117"/>
      <c r="EV5" s="117"/>
      <c r="EW5" s="117"/>
      <c r="EX5" s="117"/>
      <c r="EY5" s="117"/>
      <c r="EZ5" s="117"/>
      <c r="FA5" s="117"/>
      <c r="FB5" s="117"/>
      <c r="FC5" s="117"/>
      <c r="FD5" s="117"/>
      <c r="FE5" s="117"/>
      <c r="FF5" s="117"/>
      <c r="FG5" s="117"/>
      <c r="FH5" s="117"/>
      <c r="FI5" s="117"/>
      <c r="FJ5" s="117"/>
      <c r="FK5" s="117"/>
      <c r="FL5" s="117"/>
      <c r="FM5" s="117"/>
      <c r="FN5" s="117"/>
      <c r="FO5" s="117"/>
      <c r="FP5" s="117"/>
      <c r="FQ5" s="117"/>
      <c r="FR5" s="117"/>
      <c r="FS5" s="117"/>
      <c r="FT5" s="117"/>
      <c r="FU5" s="117"/>
      <c r="FV5" s="117"/>
      <c r="FW5" s="117"/>
      <c r="FX5" s="117"/>
      <c r="FY5" s="117"/>
      <c r="FZ5" s="117"/>
      <c r="GA5" s="117"/>
      <c r="GB5" s="117"/>
      <c r="GC5" s="117"/>
      <c r="GD5" s="117"/>
      <c r="GE5" s="117"/>
      <c r="GF5" s="117"/>
      <c r="GG5" s="117"/>
      <c r="GH5" s="117"/>
      <c r="GI5" s="117"/>
      <c r="GJ5" s="117"/>
      <c r="GK5" s="117"/>
      <c r="GL5" s="117"/>
      <c r="GM5" s="117"/>
      <c r="GN5" s="117"/>
      <c r="GO5" s="117"/>
      <c r="GP5" s="117"/>
      <c r="GQ5" s="117"/>
      <c r="GR5" s="117"/>
      <c r="GS5" s="117"/>
      <c r="GT5" s="117"/>
      <c r="GU5" s="117"/>
      <c r="GV5" s="117"/>
      <c r="GW5" s="117"/>
      <c r="GX5" s="117"/>
      <c r="GY5" s="117"/>
      <c r="GZ5" s="117"/>
      <c r="HA5" s="117"/>
      <c r="HB5" s="117"/>
      <c r="HC5" s="117"/>
      <c r="HD5" s="118"/>
      <c r="HH5" s="3"/>
      <c r="HI5" s="3"/>
      <c r="HJ5" s="3"/>
      <c r="HK5" s="3"/>
      <c r="HL5" s="3"/>
      <c r="HM5" s="3"/>
      <c r="HN5" s="3"/>
      <c r="HO5" s="3"/>
      <c r="HP5" s="3"/>
      <c r="HQ5" s="3"/>
    </row>
    <row r="6" spans="1:225" s="77" customFormat="1" ht="18">
      <c r="A6" s="107">
        <f t="shared" si="129"/>
        <v>3</v>
      </c>
      <c r="B6" s="79">
        <v>3</v>
      </c>
      <c r="C6" s="79"/>
      <c r="D6" s="79"/>
      <c r="E6" s="68" t="s">
        <v>88</v>
      </c>
      <c r="F6" s="69"/>
      <c r="G6" s="69"/>
      <c r="H6" s="69"/>
      <c r="I6" s="69"/>
      <c r="J6" s="69"/>
      <c r="K6" s="69"/>
      <c r="L6" s="69"/>
      <c r="M6" s="70"/>
      <c r="N6" s="71"/>
      <c r="O6" s="65">
        <f>SUM(O$7,O$8,O$9,O$10)</f>
        <v>3</v>
      </c>
      <c r="P6" s="66">
        <f>IF(MIN(P$7,P$8,P$9,P$10)=0,"",MIN(P$7,P$8,P$9,P$10))</f>
        <v>45108</v>
      </c>
      <c r="Q6" s="67">
        <f>IF(MAX(Q$7,Q$8,Q$9,Q$10)=0,"",MAX(Q$7,Q$8,Q$9,Q$10))</f>
        <v>45291</v>
      </c>
      <c r="R6" s="97">
        <f>IF(MIN(R$7,R$8,R$9,R$10)=0,"",MIN(R$7,R$8,R$9,R$10))</f>
        <v>45131</v>
      </c>
      <c r="S6" s="98" t="str">
        <f>IF($T6&lt;&gt;1,"",IF(MAX(S$7,S$8,S$9,S$10)=0,"",MAX(S$7,S$8,S$9,S$10)))</f>
        <v/>
      </c>
      <c r="T6" s="43">
        <f>IF($O6=0,0,$W6/$O6)</f>
        <v>3.3333333333333333E-2</v>
      </c>
      <c r="U6" s="72">
        <v>184</v>
      </c>
      <c r="V6" s="72">
        <f>SUM(V$7,V$8,V$9,V$10)</f>
        <v>2.2833766233766233</v>
      </c>
      <c r="W6" s="72">
        <f>SUM(W$7,W$8,W$9,W$10)</f>
        <v>0.1</v>
      </c>
      <c r="X6" s="42">
        <f t="shared" si="127"/>
        <v>4.3794790126265505E-2</v>
      </c>
      <c r="Y6" s="50">
        <v>45115</v>
      </c>
      <c r="Z6" s="47">
        <f t="shared" si="128"/>
        <v>21</v>
      </c>
      <c r="AA6" s="82"/>
      <c r="AB6" s="80" t="s">
        <v>72</v>
      </c>
      <c r="AC6" s="80" t="s">
        <v>72</v>
      </c>
      <c r="AD6" s="80" t="s">
        <v>72</v>
      </c>
      <c r="AE6" s="80" t="s">
        <v>72</v>
      </c>
      <c r="AF6" s="80" t="s">
        <v>72</v>
      </c>
      <c r="AG6" s="80" t="s">
        <v>72</v>
      </c>
      <c r="AH6" s="80" t="s">
        <v>72</v>
      </c>
      <c r="AI6" s="80" t="s">
        <v>72</v>
      </c>
      <c r="AJ6" s="80" t="s">
        <v>72</v>
      </c>
      <c r="AK6" s="80" t="s">
        <v>72</v>
      </c>
      <c r="AL6" s="80" t="s">
        <v>72</v>
      </c>
      <c r="AM6" s="80" t="s">
        <v>72</v>
      </c>
      <c r="AN6" s="80" t="s">
        <v>72</v>
      </c>
      <c r="AO6" s="80" t="s">
        <v>72</v>
      </c>
      <c r="AP6" s="80" t="s">
        <v>72</v>
      </c>
      <c r="AQ6" s="80" t="s">
        <v>72</v>
      </c>
      <c r="AR6" s="80" t="s">
        <v>72</v>
      </c>
      <c r="AS6" s="80" t="s">
        <v>72</v>
      </c>
      <c r="AT6" s="80" t="s">
        <v>72</v>
      </c>
      <c r="AU6" s="80" t="s">
        <v>72</v>
      </c>
      <c r="AV6" s="80" t="s">
        <v>72</v>
      </c>
      <c r="AW6" s="80" t="s">
        <v>72</v>
      </c>
      <c r="AX6" s="80" t="s">
        <v>72</v>
      </c>
      <c r="AY6" s="80" t="s">
        <v>72</v>
      </c>
      <c r="AZ6" s="80" t="s">
        <v>72</v>
      </c>
      <c r="BA6" s="80" t="s">
        <v>72</v>
      </c>
      <c r="BB6" s="80" t="s">
        <v>72</v>
      </c>
      <c r="BC6" s="80" t="s">
        <v>72</v>
      </c>
      <c r="BD6" s="80" t="s">
        <v>72</v>
      </c>
      <c r="BE6" s="80" t="s">
        <v>72</v>
      </c>
      <c r="BF6" s="80" t="s">
        <v>72</v>
      </c>
      <c r="BG6" s="80" t="s">
        <v>72</v>
      </c>
      <c r="BH6" s="80" t="s">
        <v>72</v>
      </c>
      <c r="BI6" s="80" t="s">
        <v>72</v>
      </c>
      <c r="BJ6" s="80" t="s">
        <v>72</v>
      </c>
      <c r="BK6" s="80" t="s">
        <v>72</v>
      </c>
      <c r="BL6" s="80" t="s">
        <v>72</v>
      </c>
      <c r="BM6" s="80" t="s">
        <v>72</v>
      </c>
      <c r="BN6" s="80" t="s">
        <v>72</v>
      </c>
      <c r="BO6" s="80" t="s">
        <v>72</v>
      </c>
      <c r="BP6" s="80" t="s">
        <v>72</v>
      </c>
      <c r="BQ6" s="80" t="s">
        <v>72</v>
      </c>
      <c r="BR6" s="80" t="s">
        <v>72</v>
      </c>
      <c r="BS6" s="80" t="s">
        <v>72</v>
      </c>
      <c r="BT6" s="80" t="s">
        <v>72</v>
      </c>
      <c r="BU6" s="80" t="s">
        <v>72</v>
      </c>
      <c r="BV6" s="80" t="s">
        <v>72</v>
      </c>
      <c r="BW6" s="80" t="s">
        <v>72</v>
      </c>
      <c r="BX6" s="80" t="s">
        <v>72</v>
      </c>
      <c r="BY6" s="80" t="s">
        <v>72</v>
      </c>
      <c r="BZ6" s="80" t="s">
        <v>72</v>
      </c>
      <c r="CA6" s="80" t="s">
        <v>72</v>
      </c>
      <c r="CB6" s="80" t="s">
        <v>72</v>
      </c>
      <c r="CC6" s="80" t="s">
        <v>72</v>
      </c>
      <c r="CD6" s="80" t="s">
        <v>72</v>
      </c>
      <c r="CE6" s="80" t="s">
        <v>72</v>
      </c>
      <c r="CF6" s="80" t="s">
        <v>72</v>
      </c>
      <c r="CG6" s="80" t="s">
        <v>72</v>
      </c>
      <c r="CH6" s="80" t="s">
        <v>72</v>
      </c>
      <c r="CI6" s="80" t="s">
        <v>72</v>
      </c>
      <c r="CJ6" s="80" t="s">
        <v>72</v>
      </c>
      <c r="CK6" s="80" t="s">
        <v>72</v>
      </c>
      <c r="CL6" s="80" t="s">
        <v>72</v>
      </c>
      <c r="CM6" s="80" t="s">
        <v>72</v>
      </c>
      <c r="CN6" s="80" t="s">
        <v>72</v>
      </c>
      <c r="CO6" s="80" t="s">
        <v>72</v>
      </c>
      <c r="CP6" s="80" t="s">
        <v>72</v>
      </c>
      <c r="CQ6" s="80" t="s">
        <v>72</v>
      </c>
      <c r="CR6" s="80" t="s">
        <v>72</v>
      </c>
      <c r="CS6" s="80" t="s">
        <v>72</v>
      </c>
      <c r="CT6" s="80" t="s">
        <v>72</v>
      </c>
      <c r="CU6" s="80" t="s">
        <v>72</v>
      </c>
      <c r="CV6" s="80" t="s">
        <v>72</v>
      </c>
      <c r="CW6" s="80" t="s">
        <v>72</v>
      </c>
      <c r="CX6" s="80" t="s">
        <v>72</v>
      </c>
      <c r="CY6" s="80" t="s">
        <v>72</v>
      </c>
      <c r="CZ6" s="80" t="s">
        <v>72</v>
      </c>
      <c r="DA6" s="80" t="s">
        <v>72</v>
      </c>
      <c r="DB6" s="80" t="s">
        <v>72</v>
      </c>
      <c r="DC6" s="80" t="s">
        <v>72</v>
      </c>
      <c r="DD6" s="80" t="s">
        <v>72</v>
      </c>
      <c r="DE6" s="80" t="s">
        <v>72</v>
      </c>
      <c r="DF6" s="80" t="s">
        <v>72</v>
      </c>
      <c r="DG6" s="80" t="s">
        <v>72</v>
      </c>
      <c r="DH6" s="80" t="s">
        <v>72</v>
      </c>
      <c r="DI6" s="80" t="s">
        <v>72</v>
      </c>
      <c r="DJ6" s="80" t="s">
        <v>72</v>
      </c>
      <c r="DK6" s="80" t="s">
        <v>72</v>
      </c>
      <c r="DL6" s="80" t="s">
        <v>72</v>
      </c>
      <c r="DM6" s="80" t="s">
        <v>72</v>
      </c>
      <c r="DN6" s="80" t="s">
        <v>72</v>
      </c>
      <c r="DO6" s="80" t="s">
        <v>72</v>
      </c>
      <c r="DP6" s="80" t="s">
        <v>72</v>
      </c>
      <c r="DQ6" s="80" t="s">
        <v>72</v>
      </c>
      <c r="DR6" s="80" t="s">
        <v>72</v>
      </c>
      <c r="DS6" s="80" t="s">
        <v>72</v>
      </c>
      <c r="DT6" s="80" t="s">
        <v>72</v>
      </c>
      <c r="DU6" s="80" t="s">
        <v>72</v>
      </c>
      <c r="DV6" s="80" t="s">
        <v>72</v>
      </c>
      <c r="DW6" s="80" t="s">
        <v>72</v>
      </c>
      <c r="DX6" s="80" t="s">
        <v>72</v>
      </c>
      <c r="DY6" s="80" t="s">
        <v>72</v>
      </c>
      <c r="DZ6" s="80" t="s">
        <v>72</v>
      </c>
      <c r="EA6" s="80" t="s">
        <v>72</v>
      </c>
      <c r="EB6" s="80" t="s">
        <v>72</v>
      </c>
      <c r="EC6" s="80" t="s">
        <v>72</v>
      </c>
      <c r="ED6" s="80" t="s">
        <v>72</v>
      </c>
      <c r="EE6" s="80" t="s">
        <v>72</v>
      </c>
      <c r="EF6" s="80" t="s">
        <v>72</v>
      </c>
      <c r="EG6" s="80" t="s">
        <v>72</v>
      </c>
      <c r="EH6" s="80" t="s">
        <v>72</v>
      </c>
      <c r="EI6" s="80" t="s">
        <v>72</v>
      </c>
      <c r="EJ6" s="80" t="s">
        <v>72</v>
      </c>
      <c r="EK6" s="80" t="s">
        <v>72</v>
      </c>
      <c r="EL6" s="80" t="s">
        <v>72</v>
      </c>
      <c r="EM6" s="80" t="s">
        <v>72</v>
      </c>
      <c r="EN6" s="80" t="s">
        <v>72</v>
      </c>
      <c r="EO6" s="80" t="s">
        <v>72</v>
      </c>
      <c r="EP6" s="80" t="s">
        <v>72</v>
      </c>
      <c r="EQ6" s="80" t="s">
        <v>72</v>
      </c>
      <c r="ER6" s="80" t="s">
        <v>72</v>
      </c>
      <c r="ES6" s="80" t="s">
        <v>72</v>
      </c>
      <c r="ET6" s="80" t="s">
        <v>72</v>
      </c>
      <c r="EU6" s="80" t="s">
        <v>72</v>
      </c>
      <c r="EV6" s="80" t="s">
        <v>72</v>
      </c>
      <c r="EW6" s="80" t="s">
        <v>72</v>
      </c>
      <c r="EX6" s="80" t="s">
        <v>72</v>
      </c>
      <c r="EY6" s="80" t="s">
        <v>72</v>
      </c>
      <c r="EZ6" s="80" t="s">
        <v>72</v>
      </c>
      <c r="FA6" s="80" t="s">
        <v>72</v>
      </c>
      <c r="FB6" s="80" t="s">
        <v>72</v>
      </c>
      <c r="FC6" s="80" t="s">
        <v>72</v>
      </c>
      <c r="FD6" s="80" t="s">
        <v>72</v>
      </c>
      <c r="FE6" s="80" t="s">
        <v>72</v>
      </c>
      <c r="FF6" s="80" t="s">
        <v>72</v>
      </c>
      <c r="FG6" s="80" t="s">
        <v>72</v>
      </c>
      <c r="FH6" s="80" t="s">
        <v>72</v>
      </c>
      <c r="FI6" s="80" t="s">
        <v>72</v>
      </c>
      <c r="FJ6" s="80" t="s">
        <v>72</v>
      </c>
      <c r="FK6" s="80" t="s">
        <v>72</v>
      </c>
      <c r="FL6" s="80" t="s">
        <v>72</v>
      </c>
      <c r="FM6" s="80" t="s">
        <v>72</v>
      </c>
      <c r="FN6" s="80" t="s">
        <v>72</v>
      </c>
      <c r="FO6" s="80" t="s">
        <v>72</v>
      </c>
      <c r="FP6" s="80" t="s">
        <v>72</v>
      </c>
      <c r="FQ6" s="80" t="s">
        <v>72</v>
      </c>
      <c r="FR6" s="80" t="s">
        <v>72</v>
      </c>
      <c r="FS6" s="80" t="s">
        <v>72</v>
      </c>
      <c r="FT6" s="80" t="s">
        <v>72</v>
      </c>
      <c r="FU6" s="80" t="s">
        <v>72</v>
      </c>
      <c r="FV6" s="80" t="s">
        <v>72</v>
      </c>
      <c r="FW6" s="80" t="s">
        <v>72</v>
      </c>
      <c r="FX6" s="80" t="s">
        <v>72</v>
      </c>
      <c r="FY6" s="80" t="s">
        <v>72</v>
      </c>
      <c r="FZ6" s="80" t="s">
        <v>72</v>
      </c>
      <c r="GA6" s="80" t="s">
        <v>72</v>
      </c>
      <c r="GB6" s="80" t="s">
        <v>72</v>
      </c>
      <c r="GC6" s="80" t="s">
        <v>72</v>
      </c>
      <c r="GD6" s="80" t="s">
        <v>72</v>
      </c>
      <c r="GE6" s="80" t="s">
        <v>72</v>
      </c>
      <c r="GF6" s="80" t="s">
        <v>72</v>
      </c>
      <c r="GG6" s="80" t="s">
        <v>72</v>
      </c>
      <c r="GH6" s="80" t="s">
        <v>72</v>
      </c>
      <c r="GI6" s="80" t="s">
        <v>72</v>
      </c>
      <c r="GJ6" s="80" t="s">
        <v>72</v>
      </c>
      <c r="GK6" s="80" t="s">
        <v>72</v>
      </c>
      <c r="GL6" s="80" t="s">
        <v>72</v>
      </c>
      <c r="GM6" s="80" t="s">
        <v>72</v>
      </c>
      <c r="GN6" s="80" t="s">
        <v>72</v>
      </c>
      <c r="GO6" s="80" t="s">
        <v>72</v>
      </c>
      <c r="GP6" s="80" t="s">
        <v>72</v>
      </c>
      <c r="GQ6" s="80" t="s">
        <v>72</v>
      </c>
      <c r="GR6" s="80" t="s">
        <v>72</v>
      </c>
      <c r="GS6" s="80" t="s">
        <v>72</v>
      </c>
      <c r="GT6" s="80" t="s">
        <v>72</v>
      </c>
      <c r="GU6" s="80" t="s">
        <v>72</v>
      </c>
      <c r="GV6" s="80" t="s">
        <v>72</v>
      </c>
      <c r="GW6" s="80" t="s">
        <v>72</v>
      </c>
      <c r="GX6" s="80" t="s">
        <v>72</v>
      </c>
      <c r="GY6" s="80" t="s">
        <v>72</v>
      </c>
      <c r="GZ6" s="80" t="s">
        <v>72</v>
      </c>
      <c r="HA6" s="80" t="s">
        <v>72</v>
      </c>
      <c r="HB6" s="80" t="s">
        <v>72</v>
      </c>
      <c r="HC6" s="80" t="s">
        <v>72</v>
      </c>
      <c r="HD6" s="81"/>
      <c r="HH6" s="78"/>
      <c r="HI6" s="78"/>
      <c r="HJ6" s="78"/>
      <c r="HK6" s="78"/>
      <c r="HL6" s="78"/>
      <c r="HM6" s="78"/>
      <c r="HN6" s="78"/>
      <c r="HO6" s="78"/>
      <c r="HP6" s="78"/>
      <c r="HQ6" s="78"/>
    </row>
    <row r="7" spans="1:225" customFormat="1">
      <c r="A7" s="108">
        <f t="shared" si="129"/>
        <v>4</v>
      </c>
      <c r="B7" s="109">
        <v>4</v>
      </c>
      <c r="C7" s="109"/>
      <c r="D7" s="109"/>
      <c r="E7" s="110"/>
      <c r="F7" s="111" t="s">
        <v>91</v>
      </c>
      <c r="G7" s="111"/>
      <c r="H7" s="111"/>
      <c r="I7" s="111"/>
      <c r="J7" s="111"/>
      <c r="K7" s="111"/>
      <c r="L7" s="111"/>
      <c r="M7" s="112"/>
      <c r="N7" s="113" t="s">
        <v>90</v>
      </c>
      <c r="O7" s="41">
        <v>2</v>
      </c>
      <c r="P7" s="114">
        <v>45119</v>
      </c>
      <c r="Q7" s="115">
        <v>45139</v>
      </c>
      <c r="R7" s="99"/>
      <c r="S7" s="100"/>
      <c r="T7" s="101"/>
      <c r="U7" s="27">
        <v>21</v>
      </c>
      <c r="V7" s="27">
        <v>1.7142857142857142</v>
      </c>
      <c r="W7" s="27">
        <v>0</v>
      </c>
      <c r="X7" s="26">
        <f t="shared" si="127"/>
        <v>0</v>
      </c>
      <c r="Y7" s="116">
        <v>45118</v>
      </c>
      <c r="Z7" s="46">
        <f t="shared" si="128"/>
        <v>18</v>
      </c>
      <c r="AA7" s="73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 t="s">
        <v>57</v>
      </c>
      <c r="AN7" s="117" t="s">
        <v>57</v>
      </c>
      <c r="AO7" s="117" t="s">
        <v>57</v>
      </c>
      <c r="AP7" s="117" t="s">
        <v>57</v>
      </c>
      <c r="AQ7" s="117" t="s">
        <v>57</v>
      </c>
      <c r="AR7" s="117" t="s">
        <v>57</v>
      </c>
      <c r="AS7" s="117" t="s">
        <v>57</v>
      </c>
      <c r="AT7" s="117" t="s">
        <v>57</v>
      </c>
      <c r="AU7" s="117" t="s">
        <v>57</v>
      </c>
      <c r="AV7" s="117" t="s">
        <v>57</v>
      </c>
      <c r="AW7" s="117" t="s">
        <v>57</v>
      </c>
      <c r="AX7" s="117" t="s">
        <v>57</v>
      </c>
      <c r="AY7" s="117" t="s">
        <v>57</v>
      </c>
      <c r="AZ7" s="117" t="s">
        <v>57</v>
      </c>
      <c r="BA7" s="117" t="s">
        <v>57</v>
      </c>
      <c r="BB7" s="117" t="s">
        <v>57</v>
      </c>
      <c r="BC7" s="117" t="s">
        <v>57</v>
      </c>
      <c r="BD7" s="117" t="s">
        <v>57</v>
      </c>
      <c r="BE7" s="117" t="s">
        <v>57</v>
      </c>
      <c r="BF7" s="117" t="s">
        <v>57</v>
      </c>
      <c r="BG7" s="117" t="s">
        <v>57</v>
      </c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  <c r="GS7" s="117"/>
      <c r="GT7" s="117"/>
      <c r="GU7" s="117"/>
      <c r="GV7" s="117"/>
      <c r="GW7" s="117"/>
      <c r="GX7" s="117"/>
      <c r="GY7" s="117"/>
      <c r="GZ7" s="117"/>
      <c r="HA7" s="117"/>
      <c r="HB7" s="117"/>
      <c r="HC7" s="117"/>
      <c r="HD7" s="118"/>
      <c r="HH7" s="3"/>
      <c r="HI7" s="3"/>
      <c r="HJ7" s="3"/>
      <c r="HK7" s="3"/>
      <c r="HL7" s="3"/>
      <c r="HM7" s="3"/>
      <c r="HN7" s="3"/>
      <c r="HO7" s="3"/>
      <c r="HP7" s="3"/>
      <c r="HQ7" s="3"/>
    </row>
    <row r="8" spans="1:225" customFormat="1">
      <c r="A8" s="108">
        <f t="shared" si="129"/>
        <v>5</v>
      </c>
      <c r="B8" s="109">
        <v>5</v>
      </c>
      <c r="C8" s="109"/>
      <c r="D8" s="109"/>
      <c r="E8" s="110"/>
      <c r="F8" s="111" t="s">
        <v>92</v>
      </c>
      <c r="G8" s="111"/>
      <c r="H8" s="111"/>
      <c r="I8" s="111"/>
      <c r="J8" s="111"/>
      <c r="K8" s="111"/>
      <c r="L8" s="111"/>
      <c r="M8" s="112"/>
      <c r="N8" s="113" t="s">
        <v>90</v>
      </c>
      <c r="O8" s="41">
        <v>0.5</v>
      </c>
      <c r="P8" s="114">
        <v>45119</v>
      </c>
      <c r="Q8" s="115">
        <v>45140</v>
      </c>
      <c r="R8" s="99"/>
      <c r="S8" s="100"/>
      <c r="T8" s="101"/>
      <c r="U8" s="27">
        <v>22</v>
      </c>
      <c r="V8" s="27">
        <v>0.40909090909090912</v>
      </c>
      <c r="W8" s="27">
        <v>0</v>
      </c>
      <c r="X8" s="26">
        <f t="shared" si="127"/>
        <v>0</v>
      </c>
      <c r="Y8" s="116">
        <v>45118</v>
      </c>
      <c r="Z8" s="46">
        <f t="shared" si="128"/>
        <v>18</v>
      </c>
      <c r="AA8" s="73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 t="s">
        <v>103</v>
      </c>
      <c r="AN8" s="117" t="s">
        <v>57</v>
      </c>
      <c r="AO8" s="117" t="s">
        <v>57</v>
      </c>
      <c r="AP8" s="117" t="s">
        <v>57</v>
      </c>
      <c r="AQ8" s="117" t="s">
        <v>57</v>
      </c>
      <c r="AR8" s="117" t="s">
        <v>57</v>
      </c>
      <c r="AS8" s="117" t="s">
        <v>57</v>
      </c>
      <c r="AT8" s="117" t="s">
        <v>57</v>
      </c>
      <c r="AU8" s="117" t="s">
        <v>57</v>
      </c>
      <c r="AV8" s="117" t="s">
        <v>57</v>
      </c>
      <c r="AW8" s="117" t="s">
        <v>57</v>
      </c>
      <c r="AX8" s="117" t="s">
        <v>57</v>
      </c>
      <c r="AY8" s="117" t="s">
        <v>57</v>
      </c>
      <c r="AZ8" s="117" t="s">
        <v>57</v>
      </c>
      <c r="BA8" s="117" t="s">
        <v>57</v>
      </c>
      <c r="BB8" s="117" t="s">
        <v>57</v>
      </c>
      <c r="BC8" s="117" t="s">
        <v>57</v>
      </c>
      <c r="BD8" s="117" t="s">
        <v>57</v>
      </c>
      <c r="BE8" s="117" t="s">
        <v>57</v>
      </c>
      <c r="BF8" s="117" t="s">
        <v>57</v>
      </c>
      <c r="BG8" s="117" t="s">
        <v>57</v>
      </c>
      <c r="BH8" s="117" t="s">
        <v>57</v>
      </c>
      <c r="BI8" s="117"/>
      <c r="BJ8" s="117"/>
      <c r="BK8" s="117"/>
      <c r="BL8" s="117"/>
      <c r="BM8" s="117"/>
      <c r="BN8" s="117"/>
      <c r="BO8" s="117"/>
      <c r="BP8" s="117"/>
      <c r="BQ8" s="117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7"/>
      <c r="CH8" s="117"/>
      <c r="CI8" s="117"/>
      <c r="CJ8" s="117"/>
      <c r="CK8" s="117"/>
      <c r="CL8" s="117"/>
      <c r="CM8" s="117"/>
      <c r="CN8" s="117"/>
      <c r="CO8" s="117"/>
      <c r="CP8" s="117"/>
      <c r="CQ8" s="117"/>
      <c r="CR8" s="117"/>
      <c r="CS8" s="117"/>
      <c r="CT8" s="117"/>
      <c r="CU8" s="117"/>
      <c r="CV8" s="117"/>
      <c r="CW8" s="117"/>
      <c r="CX8" s="117"/>
      <c r="CY8" s="117"/>
      <c r="CZ8" s="117"/>
      <c r="DA8" s="117"/>
      <c r="DB8" s="117"/>
      <c r="DC8" s="117"/>
      <c r="DD8" s="117"/>
      <c r="DE8" s="117"/>
      <c r="DF8" s="117"/>
      <c r="DG8" s="117"/>
      <c r="DH8" s="117"/>
      <c r="DI8" s="117"/>
      <c r="DJ8" s="117"/>
      <c r="DK8" s="117"/>
      <c r="DL8" s="117"/>
      <c r="DM8" s="117"/>
      <c r="DN8" s="117"/>
      <c r="DO8" s="117"/>
      <c r="DP8" s="117"/>
      <c r="DQ8" s="117"/>
      <c r="DR8" s="117"/>
      <c r="DS8" s="117"/>
      <c r="DT8" s="117"/>
      <c r="DU8" s="117"/>
      <c r="DV8" s="117"/>
      <c r="DW8" s="117"/>
      <c r="DX8" s="117"/>
      <c r="DY8" s="117"/>
      <c r="DZ8" s="117"/>
      <c r="EA8" s="117"/>
      <c r="EB8" s="117"/>
      <c r="EC8" s="117"/>
      <c r="ED8" s="117"/>
      <c r="EE8" s="117"/>
      <c r="EF8" s="117"/>
      <c r="EG8" s="117"/>
      <c r="EH8" s="117"/>
      <c r="EI8" s="117"/>
      <c r="EJ8" s="117"/>
      <c r="EK8" s="117"/>
      <c r="EL8" s="117"/>
      <c r="EM8" s="117"/>
      <c r="EN8" s="117"/>
      <c r="EO8" s="117"/>
      <c r="EP8" s="117"/>
      <c r="EQ8" s="117"/>
      <c r="ER8" s="117"/>
      <c r="ES8" s="117"/>
      <c r="ET8" s="117"/>
      <c r="EU8" s="117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17"/>
      <c r="FH8" s="117"/>
      <c r="FI8" s="117"/>
      <c r="FJ8" s="117"/>
      <c r="FK8" s="117"/>
      <c r="FL8" s="117"/>
      <c r="FM8" s="117"/>
      <c r="FN8" s="117"/>
      <c r="FO8" s="117"/>
      <c r="FP8" s="117"/>
      <c r="FQ8" s="117"/>
      <c r="FR8" s="117"/>
      <c r="FS8" s="117"/>
      <c r="FT8" s="117"/>
      <c r="FU8" s="117"/>
      <c r="FV8" s="117"/>
      <c r="FW8" s="117"/>
      <c r="FX8" s="117"/>
      <c r="FY8" s="117"/>
      <c r="FZ8" s="117"/>
      <c r="GA8" s="117"/>
      <c r="GB8" s="117"/>
      <c r="GC8" s="117"/>
      <c r="GD8" s="117"/>
      <c r="GE8" s="117"/>
      <c r="GF8" s="117"/>
      <c r="GG8" s="117"/>
      <c r="GH8" s="117"/>
      <c r="GI8" s="117"/>
      <c r="GJ8" s="117"/>
      <c r="GK8" s="117"/>
      <c r="GL8" s="117"/>
      <c r="GM8" s="117"/>
      <c r="GN8" s="117"/>
      <c r="GO8" s="117"/>
      <c r="GP8" s="117"/>
      <c r="GQ8" s="117"/>
      <c r="GR8" s="117"/>
      <c r="GS8" s="117"/>
      <c r="GT8" s="117"/>
      <c r="GU8" s="117"/>
      <c r="GV8" s="117"/>
      <c r="GW8" s="117"/>
      <c r="GX8" s="117"/>
      <c r="GY8" s="117"/>
      <c r="GZ8" s="117"/>
      <c r="HA8" s="117"/>
      <c r="HB8" s="117"/>
      <c r="HC8" s="117"/>
      <c r="HD8" s="118"/>
      <c r="HH8" s="3"/>
      <c r="HI8" s="3"/>
      <c r="HJ8" s="3"/>
      <c r="HK8" s="3"/>
      <c r="HL8" s="3"/>
      <c r="HM8" s="3"/>
      <c r="HN8" s="3"/>
      <c r="HO8" s="3"/>
      <c r="HP8" s="3"/>
      <c r="HQ8" s="3"/>
    </row>
    <row r="9" spans="1:225" customFormat="1">
      <c r="A9" s="108">
        <f t="shared" si="129"/>
        <v>6</v>
      </c>
      <c r="B9" s="109">
        <v>6</v>
      </c>
      <c r="C9" s="109"/>
      <c r="D9" s="109"/>
      <c r="E9" s="110"/>
      <c r="F9" s="111" t="s">
        <v>92</v>
      </c>
      <c r="G9" s="111"/>
      <c r="H9" s="111"/>
      <c r="I9" s="111"/>
      <c r="J9" s="111"/>
      <c r="K9" s="111"/>
      <c r="L9" s="111"/>
      <c r="M9" s="112"/>
      <c r="N9" s="113" t="s">
        <v>93</v>
      </c>
      <c r="O9" s="41">
        <v>0.3</v>
      </c>
      <c r="P9" s="114">
        <v>45108</v>
      </c>
      <c r="Q9" s="115">
        <v>45291</v>
      </c>
      <c r="R9" s="99"/>
      <c r="S9" s="100"/>
      <c r="T9" s="101"/>
      <c r="U9" s="27">
        <v>5</v>
      </c>
      <c r="V9" s="27">
        <v>0.06</v>
      </c>
      <c r="W9" s="27">
        <v>0</v>
      </c>
      <c r="X9" s="26">
        <f t="shared" si="127"/>
        <v>0</v>
      </c>
      <c r="Y9" s="116" t="s">
        <v>104</v>
      </c>
      <c r="Z9" s="46" t="e">
        <f t="shared" si="128"/>
        <v>#VALUE!</v>
      </c>
      <c r="AA9" s="73"/>
      <c r="AB9" s="117" t="s">
        <v>103</v>
      </c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 t="s">
        <v>57</v>
      </c>
      <c r="BJ9" s="117"/>
      <c r="BK9" s="117"/>
      <c r="BL9" s="117"/>
      <c r="BM9" s="117"/>
      <c r="BN9" s="117"/>
      <c r="BO9" s="117"/>
      <c r="BP9" s="117"/>
      <c r="BQ9" s="117"/>
      <c r="BR9" s="117"/>
      <c r="BS9" s="117" t="s">
        <v>103</v>
      </c>
      <c r="BT9" s="117"/>
      <c r="BU9" s="117"/>
      <c r="BV9" s="117"/>
      <c r="BW9" s="117"/>
      <c r="BX9" s="117"/>
      <c r="BY9" s="117"/>
      <c r="BZ9" s="117"/>
      <c r="CA9" s="117" t="s">
        <v>103</v>
      </c>
      <c r="CB9" s="117"/>
      <c r="CC9" s="117"/>
      <c r="CD9" s="117"/>
      <c r="CE9" s="117"/>
      <c r="CF9" s="117"/>
      <c r="CG9" s="117"/>
      <c r="CH9" s="117"/>
      <c r="CI9" s="117"/>
      <c r="CJ9" s="117"/>
      <c r="CK9" s="117"/>
      <c r="CL9" s="117"/>
      <c r="CM9" s="117"/>
      <c r="CN9" s="117"/>
      <c r="CO9" s="117"/>
      <c r="CP9" s="117"/>
      <c r="CQ9" s="117"/>
      <c r="CR9" s="117"/>
      <c r="CS9" s="117"/>
      <c r="CT9" s="117"/>
      <c r="CU9" s="117"/>
      <c r="CV9" s="117"/>
      <c r="CW9" s="117"/>
      <c r="CX9" s="117"/>
      <c r="CY9" s="117"/>
      <c r="CZ9" s="117"/>
      <c r="DA9" s="117"/>
      <c r="DB9" s="117"/>
      <c r="DC9" s="117"/>
      <c r="DD9" s="117"/>
      <c r="DE9" s="117"/>
      <c r="DF9" s="117"/>
      <c r="DG9" s="117"/>
      <c r="DH9" s="117"/>
      <c r="DI9" s="117"/>
      <c r="DJ9" s="117"/>
      <c r="DK9" s="117"/>
      <c r="DL9" s="117"/>
      <c r="DM9" s="117"/>
      <c r="DN9" s="117"/>
      <c r="DO9" s="117"/>
      <c r="DP9" s="117"/>
      <c r="DQ9" s="117"/>
      <c r="DR9" s="117"/>
      <c r="DS9" s="117"/>
      <c r="DT9" s="117"/>
      <c r="DU9" s="117"/>
      <c r="DV9" s="117"/>
      <c r="DW9" s="117"/>
      <c r="DX9" s="117"/>
      <c r="DY9" s="117"/>
      <c r="DZ9" s="117"/>
      <c r="EA9" s="117"/>
      <c r="EB9" s="117"/>
      <c r="EC9" s="117"/>
      <c r="ED9" s="117"/>
      <c r="EE9" s="117"/>
      <c r="EF9" s="117"/>
      <c r="EG9" s="117"/>
      <c r="EH9" s="117"/>
      <c r="EI9" s="117"/>
      <c r="EJ9" s="117"/>
      <c r="EK9" s="117"/>
      <c r="EL9" s="117"/>
      <c r="EM9" s="117"/>
      <c r="EN9" s="117"/>
      <c r="EO9" s="117"/>
      <c r="EP9" s="117"/>
      <c r="EQ9" s="117"/>
      <c r="ER9" s="117"/>
      <c r="ES9" s="117"/>
      <c r="ET9" s="117"/>
      <c r="EU9" s="117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17"/>
      <c r="FH9" s="117"/>
      <c r="FI9" s="117"/>
      <c r="FJ9" s="117"/>
      <c r="FK9" s="117"/>
      <c r="FL9" s="117"/>
      <c r="FM9" s="117"/>
      <c r="FN9" s="117"/>
      <c r="FO9" s="117"/>
      <c r="FP9" s="117"/>
      <c r="FQ9" s="117"/>
      <c r="FR9" s="117"/>
      <c r="FS9" s="117"/>
      <c r="FT9" s="117"/>
      <c r="FU9" s="117"/>
      <c r="FV9" s="117"/>
      <c r="FW9" s="117"/>
      <c r="FX9" s="117"/>
      <c r="FY9" s="117"/>
      <c r="FZ9" s="117"/>
      <c r="GA9" s="117"/>
      <c r="GB9" s="117"/>
      <c r="GC9" s="117"/>
      <c r="GD9" s="117"/>
      <c r="GE9" s="117"/>
      <c r="GF9" s="117"/>
      <c r="GG9" s="117"/>
      <c r="GH9" s="117"/>
      <c r="GI9" s="117"/>
      <c r="GJ9" s="117"/>
      <c r="GK9" s="117"/>
      <c r="GL9" s="117"/>
      <c r="GM9" s="117"/>
      <c r="GN9" s="117"/>
      <c r="GO9" s="117"/>
      <c r="GP9" s="117"/>
      <c r="GQ9" s="117"/>
      <c r="GR9" s="117"/>
      <c r="GS9" s="117"/>
      <c r="GT9" s="117"/>
      <c r="GU9" s="117"/>
      <c r="GV9" s="117"/>
      <c r="GW9" s="117"/>
      <c r="GX9" s="117"/>
      <c r="GY9" s="117"/>
      <c r="GZ9" s="117"/>
      <c r="HA9" s="117"/>
      <c r="HB9" s="117"/>
      <c r="HC9" s="117" t="s">
        <v>103</v>
      </c>
      <c r="HD9" s="118"/>
      <c r="HH9" s="3"/>
      <c r="HI9" s="3"/>
      <c r="HJ9" s="3"/>
      <c r="HK9" s="3"/>
      <c r="HL9" s="3"/>
      <c r="HM9" s="3"/>
      <c r="HN9" s="3"/>
      <c r="HO9" s="3"/>
      <c r="HP9" s="3"/>
      <c r="HQ9" s="3"/>
    </row>
    <row r="10" spans="1:225" customFormat="1">
      <c r="A10" s="108">
        <f t="shared" si="129"/>
        <v>7</v>
      </c>
      <c r="B10" s="109">
        <v>7</v>
      </c>
      <c r="C10" s="109"/>
      <c r="D10" s="109"/>
      <c r="E10" s="110"/>
      <c r="F10" s="111" t="s">
        <v>94</v>
      </c>
      <c r="G10" s="111"/>
      <c r="H10" s="111"/>
      <c r="I10" s="111"/>
      <c r="J10" s="111"/>
      <c r="K10" s="111"/>
      <c r="L10" s="111"/>
      <c r="M10" s="112"/>
      <c r="N10" s="113" t="s">
        <v>90</v>
      </c>
      <c r="O10" s="41">
        <v>0.2</v>
      </c>
      <c r="P10" s="114">
        <v>45131</v>
      </c>
      <c r="Q10" s="115">
        <v>45142</v>
      </c>
      <c r="R10" s="99">
        <v>45131</v>
      </c>
      <c r="S10" s="100"/>
      <c r="T10" s="101">
        <v>0.5</v>
      </c>
      <c r="U10" s="27">
        <v>10</v>
      </c>
      <c r="V10" s="27">
        <v>0.1</v>
      </c>
      <c r="W10" s="27">
        <v>0.1</v>
      </c>
      <c r="X10" s="26">
        <f t="shared" si="127"/>
        <v>1</v>
      </c>
      <c r="Y10" s="116">
        <v>45138</v>
      </c>
      <c r="Z10" s="46">
        <f t="shared" si="128"/>
        <v>-2</v>
      </c>
      <c r="AA10" s="73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 t="s">
        <v>103</v>
      </c>
      <c r="AZ10" s="117" t="s">
        <v>103</v>
      </c>
      <c r="BA10" s="117" t="s">
        <v>103</v>
      </c>
      <c r="BB10" s="117" t="s">
        <v>103</v>
      </c>
      <c r="BC10" s="117" t="s">
        <v>103</v>
      </c>
      <c r="BD10" s="117"/>
      <c r="BE10" s="117"/>
      <c r="BF10" s="117" t="s">
        <v>103</v>
      </c>
      <c r="BG10" s="117" t="s">
        <v>103</v>
      </c>
      <c r="BH10" s="117" t="s">
        <v>103</v>
      </c>
      <c r="BI10" s="117" t="s">
        <v>103</v>
      </c>
      <c r="BJ10" s="117" t="s">
        <v>103</v>
      </c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8"/>
      <c r="HH10" s="3"/>
      <c r="HI10" s="3"/>
      <c r="HJ10" s="3"/>
      <c r="HK10" s="3"/>
      <c r="HL10" s="3"/>
      <c r="HM10" s="3"/>
      <c r="HN10" s="3"/>
      <c r="HO10" s="3"/>
      <c r="HP10" s="3"/>
      <c r="HQ10" s="3"/>
    </row>
    <row r="11" spans="1:225" s="77" customFormat="1" ht="18">
      <c r="A11" s="107">
        <f t="shared" si="129"/>
        <v>8</v>
      </c>
      <c r="B11" s="79">
        <v>8</v>
      </c>
      <c r="C11" s="79"/>
      <c r="D11" s="79"/>
      <c r="E11" s="68" t="s">
        <v>90</v>
      </c>
      <c r="F11" s="69"/>
      <c r="G11" s="69"/>
      <c r="H11" s="69"/>
      <c r="I11" s="69"/>
      <c r="J11" s="69"/>
      <c r="K11" s="69"/>
      <c r="L11" s="69"/>
      <c r="M11" s="70"/>
      <c r="N11" s="71"/>
      <c r="O11" s="65">
        <f>SUM(O$12,O$13,O$14,O$15)</f>
        <v>0</v>
      </c>
      <c r="P11" s="66" t="str">
        <f>IF(MIN(P$12,P$13,P$14,P$15)=0,"",MIN(P$12,P$13,P$14,P$15))</f>
        <v/>
      </c>
      <c r="Q11" s="67" t="str">
        <f>IF(MAX(Q$12,Q$13,Q$14,Q$15)=0,"",MAX(Q$12,Q$13,Q$14,Q$15))</f>
        <v/>
      </c>
      <c r="R11" s="97" t="str">
        <f>IF(MIN(R$12,R$13,R$14,R$15)=0,"",MIN(R$12,R$13,R$14,R$15))</f>
        <v/>
      </c>
      <c r="S11" s="98" t="str">
        <f>IF($T11&lt;&gt;1,"",IF(MAX(S$12,S$13,S$14,S$15)=0,"",MAX(S$12,S$13,S$14,S$15)))</f>
        <v/>
      </c>
      <c r="T11" s="43">
        <f>IF($O11=0,0,$W11/$O11)</f>
        <v>0</v>
      </c>
      <c r="U11" s="72"/>
      <c r="V11" s="72">
        <f>SUM(V$12,V$13,V$14,V$15)</f>
        <v>0</v>
      </c>
      <c r="W11" s="72">
        <f>SUM(W$12,W$13,W$14,W$15)</f>
        <v>0</v>
      </c>
      <c r="X11" s="42"/>
      <c r="Y11" s="50"/>
      <c r="Z11" s="47"/>
      <c r="AA11" s="82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/>
      <c r="DY11" s="80"/>
      <c r="DZ11" s="80"/>
      <c r="EA11" s="80"/>
      <c r="EB11" s="80"/>
      <c r="EC11" s="80"/>
      <c r="ED11" s="80"/>
      <c r="EE11" s="80"/>
      <c r="EF11" s="80"/>
      <c r="EG11" s="80"/>
      <c r="EH11" s="80"/>
      <c r="EI11" s="80"/>
      <c r="EJ11" s="80"/>
      <c r="EK11" s="80"/>
      <c r="EL11" s="80"/>
      <c r="EM11" s="80"/>
      <c r="EN11" s="80"/>
      <c r="EO11" s="80"/>
      <c r="EP11" s="80"/>
      <c r="EQ11" s="80"/>
      <c r="ER11" s="80"/>
      <c r="ES11" s="80"/>
      <c r="ET11" s="80"/>
      <c r="EU11" s="80"/>
      <c r="EV11" s="80"/>
      <c r="EW11" s="80"/>
      <c r="EX11" s="80"/>
      <c r="EY11" s="80"/>
      <c r="EZ11" s="80"/>
      <c r="FA11" s="80"/>
      <c r="FB11" s="80"/>
      <c r="FC11" s="80"/>
      <c r="FD11" s="80"/>
      <c r="FE11" s="80"/>
      <c r="FF11" s="80"/>
      <c r="FG11" s="80"/>
      <c r="FH11" s="80"/>
      <c r="FI11" s="80"/>
      <c r="FJ11" s="80"/>
      <c r="FK11" s="80"/>
      <c r="FL11" s="80"/>
      <c r="FM11" s="80"/>
      <c r="FN11" s="80"/>
      <c r="FO11" s="80"/>
      <c r="FP11" s="80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1"/>
      <c r="HH11" s="78"/>
      <c r="HI11" s="78"/>
      <c r="HJ11" s="78"/>
      <c r="HK11" s="78"/>
      <c r="HL11" s="78"/>
      <c r="HM11" s="78"/>
      <c r="HN11" s="78"/>
      <c r="HO11" s="78"/>
      <c r="HP11" s="78"/>
      <c r="HQ11" s="78"/>
    </row>
    <row r="12" spans="1:225" customFormat="1">
      <c r="A12" s="108">
        <f t="shared" si="129"/>
        <v>9</v>
      </c>
      <c r="B12" s="109">
        <v>9</v>
      </c>
      <c r="C12" s="109"/>
      <c r="D12" s="109"/>
      <c r="E12" s="110"/>
      <c r="F12" s="111" t="s">
        <v>94</v>
      </c>
      <c r="G12" s="111"/>
      <c r="H12" s="111"/>
      <c r="I12" s="111"/>
      <c r="J12" s="111"/>
      <c r="K12" s="111"/>
      <c r="L12" s="111"/>
      <c r="M12" s="112"/>
      <c r="N12" s="113" t="s">
        <v>90</v>
      </c>
      <c r="O12" s="41"/>
      <c r="P12" s="114"/>
      <c r="Q12" s="115"/>
      <c r="R12" s="99"/>
      <c r="S12" s="100"/>
      <c r="T12" s="101"/>
      <c r="U12" s="27"/>
      <c r="V12" s="27"/>
      <c r="W12" s="27"/>
      <c r="X12" s="26"/>
      <c r="Y12" s="116"/>
      <c r="Z12" s="46"/>
      <c r="AA12" s="73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  <c r="BI12" s="117"/>
      <c r="BJ12" s="117"/>
      <c r="BK12" s="117"/>
      <c r="BL12" s="117"/>
      <c r="BM12" s="117"/>
      <c r="BN12" s="117"/>
      <c r="BO12" s="117"/>
      <c r="BP12" s="117"/>
      <c r="BQ12" s="117"/>
      <c r="BR12" s="117"/>
      <c r="BS12" s="117"/>
      <c r="BT12" s="117"/>
      <c r="BU12" s="117"/>
      <c r="BV12" s="117"/>
      <c r="BW12" s="117"/>
      <c r="BX12" s="117"/>
      <c r="BY12" s="117"/>
      <c r="BZ12" s="117"/>
      <c r="CA12" s="117"/>
      <c r="CB12" s="117"/>
      <c r="CC12" s="117"/>
      <c r="CD12" s="117"/>
      <c r="CE12" s="117"/>
      <c r="CF12" s="117"/>
      <c r="CG12" s="117"/>
      <c r="CH12" s="117"/>
      <c r="CI12" s="117"/>
      <c r="CJ12" s="117"/>
      <c r="CK12" s="117"/>
      <c r="CL12" s="117"/>
      <c r="CM12" s="117"/>
      <c r="CN12" s="117"/>
      <c r="CO12" s="117"/>
      <c r="CP12" s="117"/>
      <c r="CQ12" s="117"/>
      <c r="CR12" s="117"/>
      <c r="CS12" s="117"/>
      <c r="CT12" s="117"/>
      <c r="CU12" s="117"/>
      <c r="CV12" s="117"/>
      <c r="CW12" s="117"/>
      <c r="CX12" s="117"/>
      <c r="CY12" s="117"/>
      <c r="CZ12" s="117"/>
      <c r="DA12" s="117"/>
      <c r="DB12" s="117"/>
      <c r="DC12" s="117"/>
      <c r="DD12" s="117"/>
      <c r="DE12" s="117"/>
      <c r="DF12" s="117"/>
      <c r="DG12" s="117"/>
      <c r="DH12" s="117"/>
      <c r="DI12" s="117"/>
      <c r="DJ12" s="117"/>
      <c r="DK12" s="117"/>
      <c r="DL12" s="117"/>
      <c r="DM12" s="117"/>
      <c r="DN12" s="117"/>
      <c r="DO12" s="117"/>
      <c r="DP12" s="117"/>
      <c r="DQ12" s="117"/>
      <c r="DR12" s="117"/>
      <c r="DS12" s="117"/>
      <c r="DT12" s="117"/>
      <c r="DU12" s="117"/>
      <c r="DV12" s="117"/>
      <c r="DW12" s="117"/>
      <c r="DX12" s="117"/>
      <c r="DY12" s="117"/>
      <c r="DZ12" s="117"/>
      <c r="EA12" s="117"/>
      <c r="EB12" s="117"/>
      <c r="EC12" s="117"/>
      <c r="ED12" s="117"/>
      <c r="EE12" s="117"/>
      <c r="EF12" s="117"/>
      <c r="EG12" s="117"/>
      <c r="EH12" s="117"/>
      <c r="EI12" s="117"/>
      <c r="EJ12" s="117"/>
      <c r="EK12" s="117"/>
      <c r="EL12" s="117"/>
      <c r="EM12" s="117"/>
      <c r="EN12" s="117"/>
      <c r="EO12" s="117"/>
      <c r="EP12" s="117"/>
      <c r="EQ12" s="117"/>
      <c r="ER12" s="117"/>
      <c r="ES12" s="117"/>
      <c r="ET12" s="117"/>
      <c r="EU12" s="117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17"/>
      <c r="FH12" s="117"/>
      <c r="FI12" s="117"/>
      <c r="FJ12" s="117"/>
      <c r="FK12" s="117"/>
      <c r="FL12" s="117"/>
      <c r="FM12" s="117"/>
      <c r="FN12" s="117"/>
      <c r="FO12" s="117"/>
      <c r="FP12" s="117"/>
      <c r="FQ12" s="117"/>
      <c r="FR12" s="117"/>
      <c r="FS12" s="117"/>
      <c r="FT12" s="117"/>
      <c r="FU12" s="117"/>
      <c r="FV12" s="117"/>
      <c r="FW12" s="117"/>
      <c r="FX12" s="117"/>
      <c r="FY12" s="117"/>
      <c r="FZ12" s="117"/>
      <c r="GA12" s="117"/>
      <c r="GB12" s="117"/>
      <c r="GC12" s="117"/>
      <c r="GD12" s="117"/>
      <c r="GE12" s="117"/>
      <c r="GF12" s="117"/>
      <c r="GG12" s="117"/>
      <c r="GH12" s="117"/>
      <c r="GI12" s="117"/>
      <c r="GJ12" s="117"/>
      <c r="GK12" s="117"/>
      <c r="GL12" s="117"/>
      <c r="GM12" s="117"/>
      <c r="GN12" s="117"/>
      <c r="GO12" s="117"/>
      <c r="GP12" s="117"/>
      <c r="GQ12" s="117"/>
      <c r="GR12" s="117"/>
      <c r="GS12" s="117"/>
      <c r="GT12" s="117"/>
      <c r="GU12" s="117"/>
      <c r="GV12" s="117"/>
      <c r="GW12" s="117"/>
      <c r="GX12" s="117"/>
      <c r="GY12" s="117"/>
      <c r="GZ12" s="117"/>
      <c r="HA12" s="117"/>
      <c r="HB12" s="117"/>
      <c r="HC12" s="117"/>
      <c r="HD12" s="118"/>
      <c r="HH12" s="3"/>
      <c r="HI12" s="3"/>
      <c r="HJ12" s="3"/>
      <c r="HK12" s="3"/>
      <c r="HL12" s="3"/>
      <c r="HM12" s="3"/>
      <c r="HN12" s="3"/>
      <c r="HO12" s="3"/>
      <c r="HP12" s="3"/>
      <c r="HQ12" s="3"/>
    </row>
    <row r="13" spans="1:225" customFormat="1">
      <c r="A13" s="108">
        <f t="shared" si="129"/>
        <v>10</v>
      </c>
      <c r="B13" s="109">
        <v>10</v>
      </c>
      <c r="C13" s="109"/>
      <c r="D13" s="109"/>
      <c r="E13" s="110"/>
      <c r="F13" s="111" t="s">
        <v>95</v>
      </c>
      <c r="G13" s="111"/>
      <c r="H13" s="111"/>
      <c r="I13" s="111"/>
      <c r="J13" s="111"/>
      <c r="K13" s="111"/>
      <c r="L13" s="111"/>
      <c r="M13" s="112"/>
      <c r="N13" s="113" t="s">
        <v>90</v>
      </c>
      <c r="O13" s="41"/>
      <c r="P13" s="114"/>
      <c r="Q13" s="115"/>
      <c r="R13" s="99"/>
      <c r="S13" s="100"/>
      <c r="T13" s="101"/>
      <c r="U13" s="27"/>
      <c r="V13" s="27"/>
      <c r="W13" s="27"/>
      <c r="X13" s="26"/>
      <c r="Y13" s="116"/>
      <c r="Z13" s="46"/>
      <c r="AA13" s="73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7"/>
      <c r="CF13" s="117"/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7"/>
      <c r="CZ13" s="117"/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7"/>
      <c r="DR13" s="117"/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7"/>
      <c r="EI13" s="117"/>
      <c r="EJ13" s="117"/>
      <c r="EK13" s="117"/>
      <c r="EL13" s="117"/>
      <c r="EM13" s="117"/>
      <c r="EN13" s="117"/>
      <c r="EO13" s="117"/>
      <c r="EP13" s="117"/>
      <c r="EQ13" s="117"/>
      <c r="ER13" s="117"/>
      <c r="ES13" s="117"/>
      <c r="ET13" s="117"/>
      <c r="EU13" s="117"/>
      <c r="EV13" s="117"/>
      <c r="EW13" s="117"/>
      <c r="EX13" s="117"/>
      <c r="EY13" s="117"/>
      <c r="EZ13" s="117"/>
      <c r="FA13" s="117"/>
      <c r="FB13" s="117"/>
      <c r="FC13" s="117"/>
      <c r="FD13" s="117"/>
      <c r="FE13" s="117"/>
      <c r="FF13" s="117"/>
      <c r="FG13" s="117"/>
      <c r="FH13" s="117"/>
      <c r="FI13" s="117"/>
      <c r="FJ13" s="117"/>
      <c r="FK13" s="117"/>
      <c r="FL13" s="117"/>
      <c r="FM13" s="117"/>
      <c r="FN13" s="117"/>
      <c r="FO13" s="117"/>
      <c r="FP13" s="117"/>
      <c r="FQ13" s="117"/>
      <c r="FR13" s="117"/>
      <c r="FS13" s="117"/>
      <c r="FT13" s="117"/>
      <c r="FU13" s="117"/>
      <c r="FV13" s="117"/>
      <c r="FW13" s="117"/>
      <c r="FX13" s="117"/>
      <c r="FY13" s="117"/>
      <c r="FZ13" s="117"/>
      <c r="GA13" s="117"/>
      <c r="GB13" s="117"/>
      <c r="GC13" s="117"/>
      <c r="GD13" s="117"/>
      <c r="GE13" s="117"/>
      <c r="GF13" s="117"/>
      <c r="GG13" s="117"/>
      <c r="GH13" s="117"/>
      <c r="GI13" s="117"/>
      <c r="GJ13" s="117"/>
      <c r="GK13" s="117"/>
      <c r="GL13" s="117"/>
      <c r="GM13" s="117"/>
      <c r="GN13" s="117"/>
      <c r="GO13" s="117"/>
      <c r="GP13" s="117"/>
      <c r="GQ13" s="117"/>
      <c r="GR13" s="117"/>
      <c r="GS13" s="117"/>
      <c r="GT13" s="117"/>
      <c r="GU13" s="117"/>
      <c r="GV13" s="117"/>
      <c r="GW13" s="117"/>
      <c r="GX13" s="117"/>
      <c r="GY13" s="117"/>
      <c r="GZ13" s="117"/>
      <c r="HA13" s="117"/>
      <c r="HB13" s="117"/>
      <c r="HC13" s="117"/>
      <c r="HD13" s="118"/>
      <c r="HH13" s="3"/>
      <c r="HI13" s="3"/>
      <c r="HJ13" s="3"/>
      <c r="HK13" s="3"/>
      <c r="HL13" s="3"/>
      <c r="HM13" s="3"/>
      <c r="HN13" s="3"/>
      <c r="HO13" s="3"/>
      <c r="HP13" s="3"/>
      <c r="HQ13" s="3"/>
    </row>
    <row r="14" spans="1:225" customFormat="1">
      <c r="A14" s="108">
        <f t="shared" si="129"/>
        <v>11</v>
      </c>
      <c r="B14" s="109">
        <v>11</v>
      </c>
      <c r="C14" s="109"/>
      <c r="D14" s="109"/>
      <c r="E14" s="110"/>
      <c r="F14" s="111" t="s">
        <v>96</v>
      </c>
      <c r="G14" s="111"/>
      <c r="H14" s="111"/>
      <c r="I14" s="111"/>
      <c r="J14" s="111"/>
      <c r="K14" s="111"/>
      <c r="L14" s="111"/>
      <c r="M14" s="112"/>
      <c r="N14" s="113" t="s">
        <v>90</v>
      </c>
      <c r="O14" s="41"/>
      <c r="P14" s="114"/>
      <c r="Q14" s="115"/>
      <c r="R14" s="99"/>
      <c r="S14" s="100"/>
      <c r="T14" s="101"/>
      <c r="U14" s="27"/>
      <c r="V14" s="27"/>
      <c r="W14" s="27"/>
      <c r="X14" s="26"/>
      <c r="Y14" s="116"/>
      <c r="Z14" s="46"/>
      <c r="AA14" s="73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F14" s="117"/>
      <c r="BG14" s="117"/>
      <c r="BH14" s="117"/>
      <c r="BI14" s="117"/>
      <c r="BJ14" s="117"/>
      <c r="BK14" s="117"/>
      <c r="BL14" s="117"/>
      <c r="BM14" s="117"/>
      <c r="BN14" s="117"/>
      <c r="BO14" s="117"/>
      <c r="BP14" s="117"/>
      <c r="BQ14" s="117"/>
      <c r="BR14" s="117"/>
      <c r="BS14" s="117"/>
      <c r="BT14" s="117"/>
      <c r="BU14" s="117"/>
      <c r="BV14" s="117"/>
      <c r="BW14" s="117"/>
      <c r="BX14" s="117"/>
      <c r="BY14" s="117"/>
      <c r="BZ14" s="117"/>
      <c r="CA14" s="117"/>
      <c r="CB14" s="117"/>
      <c r="CC14" s="117"/>
      <c r="CD14" s="117"/>
      <c r="CE14" s="117"/>
      <c r="CF14" s="117"/>
      <c r="CG14" s="117"/>
      <c r="CH14" s="117"/>
      <c r="CI14" s="117"/>
      <c r="CJ14" s="117"/>
      <c r="CK14" s="117"/>
      <c r="CL14" s="117"/>
      <c r="CM14" s="117"/>
      <c r="CN14" s="117"/>
      <c r="CO14" s="117"/>
      <c r="CP14" s="117"/>
      <c r="CQ14" s="117"/>
      <c r="CR14" s="117"/>
      <c r="CS14" s="117"/>
      <c r="CT14" s="117"/>
      <c r="CU14" s="117"/>
      <c r="CV14" s="117"/>
      <c r="CW14" s="117"/>
      <c r="CX14" s="117"/>
      <c r="CY14" s="117"/>
      <c r="CZ14" s="117"/>
      <c r="DA14" s="117"/>
      <c r="DB14" s="117"/>
      <c r="DC14" s="117"/>
      <c r="DD14" s="117"/>
      <c r="DE14" s="117"/>
      <c r="DF14" s="117"/>
      <c r="DG14" s="117"/>
      <c r="DH14" s="117"/>
      <c r="DI14" s="117"/>
      <c r="DJ14" s="117"/>
      <c r="DK14" s="117"/>
      <c r="DL14" s="117"/>
      <c r="DM14" s="117"/>
      <c r="DN14" s="117"/>
      <c r="DO14" s="117"/>
      <c r="DP14" s="117"/>
      <c r="DQ14" s="117"/>
      <c r="DR14" s="117"/>
      <c r="DS14" s="117"/>
      <c r="DT14" s="117"/>
      <c r="DU14" s="117"/>
      <c r="DV14" s="117"/>
      <c r="DW14" s="117"/>
      <c r="DX14" s="117"/>
      <c r="DY14" s="117"/>
      <c r="DZ14" s="117"/>
      <c r="EA14" s="117"/>
      <c r="EB14" s="117"/>
      <c r="EC14" s="117"/>
      <c r="ED14" s="117"/>
      <c r="EE14" s="117"/>
      <c r="EF14" s="117"/>
      <c r="EG14" s="117"/>
      <c r="EH14" s="117"/>
      <c r="EI14" s="117"/>
      <c r="EJ14" s="117"/>
      <c r="EK14" s="117"/>
      <c r="EL14" s="117"/>
      <c r="EM14" s="117"/>
      <c r="EN14" s="117"/>
      <c r="EO14" s="117"/>
      <c r="EP14" s="117"/>
      <c r="EQ14" s="117"/>
      <c r="ER14" s="117"/>
      <c r="ES14" s="117"/>
      <c r="ET14" s="117"/>
      <c r="EU14" s="117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17"/>
      <c r="FH14" s="117"/>
      <c r="FI14" s="117"/>
      <c r="FJ14" s="117"/>
      <c r="FK14" s="117"/>
      <c r="FL14" s="117"/>
      <c r="FM14" s="117"/>
      <c r="FN14" s="117"/>
      <c r="FO14" s="117"/>
      <c r="FP14" s="117"/>
      <c r="FQ14" s="117"/>
      <c r="FR14" s="117"/>
      <c r="FS14" s="117"/>
      <c r="FT14" s="117"/>
      <c r="FU14" s="117"/>
      <c r="FV14" s="117"/>
      <c r="FW14" s="117"/>
      <c r="FX14" s="117"/>
      <c r="FY14" s="117"/>
      <c r="FZ14" s="117"/>
      <c r="GA14" s="117"/>
      <c r="GB14" s="117"/>
      <c r="GC14" s="117"/>
      <c r="GD14" s="117"/>
      <c r="GE14" s="117"/>
      <c r="GF14" s="117"/>
      <c r="GG14" s="117"/>
      <c r="GH14" s="117"/>
      <c r="GI14" s="117"/>
      <c r="GJ14" s="117"/>
      <c r="GK14" s="117"/>
      <c r="GL14" s="117"/>
      <c r="GM14" s="117"/>
      <c r="GN14" s="117"/>
      <c r="GO14" s="117"/>
      <c r="GP14" s="117"/>
      <c r="GQ14" s="117"/>
      <c r="GR14" s="117"/>
      <c r="GS14" s="117"/>
      <c r="GT14" s="117"/>
      <c r="GU14" s="117"/>
      <c r="GV14" s="117"/>
      <c r="GW14" s="117"/>
      <c r="GX14" s="117"/>
      <c r="GY14" s="117"/>
      <c r="GZ14" s="117"/>
      <c r="HA14" s="117"/>
      <c r="HB14" s="117"/>
      <c r="HC14" s="117"/>
      <c r="HD14" s="118"/>
      <c r="HH14" s="3"/>
      <c r="HI14" s="3"/>
      <c r="HJ14" s="3"/>
      <c r="HK14" s="3"/>
      <c r="HL14" s="3"/>
      <c r="HM14" s="3"/>
      <c r="HN14" s="3"/>
      <c r="HO14" s="3"/>
      <c r="HP14" s="3"/>
      <c r="HQ14" s="3"/>
    </row>
    <row r="15" spans="1:225" customFormat="1">
      <c r="A15" s="108">
        <f t="shared" si="129"/>
        <v>12</v>
      </c>
      <c r="B15" s="109">
        <v>12</v>
      </c>
      <c r="C15" s="109"/>
      <c r="D15" s="109"/>
      <c r="E15" s="110"/>
      <c r="F15" s="111" t="s">
        <v>94</v>
      </c>
      <c r="G15" s="111"/>
      <c r="H15" s="111"/>
      <c r="I15" s="111"/>
      <c r="J15" s="111"/>
      <c r="K15" s="111"/>
      <c r="L15" s="111"/>
      <c r="M15" s="112"/>
      <c r="N15" s="113" t="s">
        <v>90</v>
      </c>
      <c r="O15" s="41"/>
      <c r="P15" s="114"/>
      <c r="Q15" s="115"/>
      <c r="R15" s="99"/>
      <c r="S15" s="100"/>
      <c r="T15" s="101"/>
      <c r="U15" s="27"/>
      <c r="V15" s="27"/>
      <c r="W15" s="27"/>
      <c r="X15" s="26"/>
      <c r="Y15" s="116"/>
      <c r="Z15" s="46"/>
      <c r="AA15" s="73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17"/>
      <c r="BE15" s="117"/>
      <c r="BF15" s="117"/>
      <c r="BG15" s="117"/>
      <c r="BH15" s="117"/>
      <c r="BI15" s="117"/>
      <c r="BJ15" s="117"/>
      <c r="BK15" s="117"/>
      <c r="BL15" s="117"/>
      <c r="BM15" s="117"/>
      <c r="BN15" s="117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7"/>
      <c r="CC15" s="117"/>
      <c r="CD15" s="117"/>
      <c r="CE15" s="117"/>
      <c r="CF15" s="117"/>
      <c r="CG15" s="117"/>
      <c r="CH15" s="117"/>
      <c r="CI15" s="117"/>
      <c r="CJ15" s="117"/>
      <c r="CK15" s="117"/>
      <c r="CL15" s="117"/>
      <c r="CM15" s="117"/>
      <c r="CN15" s="117"/>
      <c r="CO15" s="117"/>
      <c r="CP15" s="117"/>
      <c r="CQ15" s="117"/>
      <c r="CR15" s="117"/>
      <c r="CS15" s="117"/>
      <c r="CT15" s="117"/>
      <c r="CU15" s="117"/>
      <c r="CV15" s="117"/>
      <c r="CW15" s="117"/>
      <c r="CX15" s="117"/>
      <c r="CY15" s="117"/>
      <c r="CZ15" s="117"/>
      <c r="DA15" s="117"/>
      <c r="DB15" s="117"/>
      <c r="DC15" s="117"/>
      <c r="DD15" s="117"/>
      <c r="DE15" s="117"/>
      <c r="DF15" s="117"/>
      <c r="DG15" s="117"/>
      <c r="DH15" s="117"/>
      <c r="DI15" s="117"/>
      <c r="DJ15" s="117"/>
      <c r="DK15" s="117"/>
      <c r="DL15" s="117"/>
      <c r="DM15" s="117"/>
      <c r="DN15" s="117"/>
      <c r="DO15" s="117"/>
      <c r="DP15" s="117"/>
      <c r="DQ15" s="117"/>
      <c r="DR15" s="117"/>
      <c r="DS15" s="117"/>
      <c r="DT15" s="117"/>
      <c r="DU15" s="117"/>
      <c r="DV15" s="117"/>
      <c r="DW15" s="117"/>
      <c r="DX15" s="117"/>
      <c r="DY15" s="117"/>
      <c r="DZ15" s="117"/>
      <c r="EA15" s="117"/>
      <c r="EB15" s="117"/>
      <c r="EC15" s="117"/>
      <c r="ED15" s="117"/>
      <c r="EE15" s="117"/>
      <c r="EF15" s="117"/>
      <c r="EG15" s="117"/>
      <c r="EH15" s="117"/>
      <c r="EI15" s="117"/>
      <c r="EJ15" s="117"/>
      <c r="EK15" s="117"/>
      <c r="EL15" s="117"/>
      <c r="EM15" s="117"/>
      <c r="EN15" s="117"/>
      <c r="EO15" s="117"/>
      <c r="EP15" s="117"/>
      <c r="EQ15" s="117"/>
      <c r="ER15" s="117"/>
      <c r="ES15" s="117"/>
      <c r="ET15" s="117"/>
      <c r="EU15" s="117"/>
      <c r="EV15" s="117"/>
      <c r="EW15" s="117"/>
      <c r="EX15" s="117"/>
      <c r="EY15" s="117"/>
      <c r="EZ15" s="117"/>
      <c r="FA15" s="117"/>
      <c r="FB15" s="117"/>
      <c r="FC15" s="117"/>
      <c r="FD15" s="117"/>
      <c r="FE15" s="117"/>
      <c r="FF15" s="117"/>
      <c r="FG15" s="117"/>
      <c r="FH15" s="117"/>
      <c r="FI15" s="117"/>
      <c r="FJ15" s="117"/>
      <c r="FK15" s="117"/>
      <c r="FL15" s="117"/>
      <c r="FM15" s="117"/>
      <c r="FN15" s="117"/>
      <c r="FO15" s="117"/>
      <c r="FP15" s="117"/>
      <c r="FQ15" s="117"/>
      <c r="FR15" s="117"/>
      <c r="FS15" s="117"/>
      <c r="FT15" s="117"/>
      <c r="FU15" s="117"/>
      <c r="FV15" s="117"/>
      <c r="FW15" s="117"/>
      <c r="FX15" s="117"/>
      <c r="FY15" s="117"/>
      <c r="FZ15" s="117"/>
      <c r="GA15" s="117"/>
      <c r="GB15" s="117"/>
      <c r="GC15" s="117"/>
      <c r="GD15" s="117"/>
      <c r="GE15" s="117"/>
      <c r="GF15" s="117"/>
      <c r="GG15" s="117"/>
      <c r="GH15" s="117"/>
      <c r="GI15" s="117"/>
      <c r="GJ15" s="117"/>
      <c r="GK15" s="117"/>
      <c r="GL15" s="117"/>
      <c r="GM15" s="117"/>
      <c r="GN15" s="117"/>
      <c r="GO15" s="117"/>
      <c r="GP15" s="117"/>
      <c r="GQ15" s="117"/>
      <c r="GR15" s="117"/>
      <c r="GS15" s="117"/>
      <c r="GT15" s="117"/>
      <c r="GU15" s="117"/>
      <c r="GV15" s="117"/>
      <c r="GW15" s="117"/>
      <c r="GX15" s="117"/>
      <c r="GY15" s="117"/>
      <c r="GZ15" s="117"/>
      <c r="HA15" s="117"/>
      <c r="HB15" s="117"/>
      <c r="HC15" s="117"/>
      <c r="HD15" s="118"/>
      <c r="HH15" s="3"/>
      <c r="HI15" s="3"/>
      <c r="HJ15" s="3"/>
      <c r="HK15" s="3"/>
      <c r="HL15" s="3"/>
      <c r="HM15" s="3"/>
      <c r="HN15" s="3"/>
      <c r="HO15" s="3"/>
      <c r="HP15" s="3"/>
      <c r="HQ15" s="3"/>
    </row>
    <row r="16" spans="1:225" s="77" customFormat="1" ht="18">
      <c r="A16" s="107">
        <f t="shared" si="129"/>
        <v>13</v>
      </c>
      <c r="B16" s="79">
        <v>13</v>
      </c>
      <c r="C16" s="79"/>
      <c r="D16" s="79"/>
      <c r="E16" s="68" t="s">
        <v>98</v>
      </c>
      <c r="F16" s="69"/>
      <c r="G16" s="69"/>
      <c r="H16" s="69"/>
      <c r="I16" s="69"/>
      <c r="J16" s="69"/>
      <c r="K16" s="69"/>
      <c r="L16" s="69"/>
      <c r="M16" s="70"/>
      <c r="N16" s="71"/>
      <c r="O16" s="65">
        <f>SUM(O$17,O$18,O$19)</f>
        <v>1.4</v>
      </c>
      <c r="P16" s="66">
        <f>IF(MIN(P$17,P$18,P$19)=0,"",MIN(P$17,P$18,P$19))</f>
        <v>45120</v>
      </c>
      <c r="Q16" s="67">
        <f>IF(MAX(Q$17,Q$18,Q$19)=0,"",MAX(Q$17,Q$18,Q$19))</f>
        <v>45163</v>
      </c>
      <c r="R16" s="97" t="str">
        <f>IF(MIN(R$17,R$18,R$19)=0,"",MIN(R$17,R$18,R$19))</f>
        <v/>
      </c>
      <c r="S16" s="98" t="str">
        <f>IF($T16&lt;&gt;1,"",IF(MAX(S$17,S$18,S$19)=0,"",MAX(S$17,S$18,S$19)))</f>
        <v/>
      </c>
      <c r="T16" s="43">
        <f>IF($O16=0,0,$W16/$O16)</f>
        <v>0</v>
      </c>
      <c r="U16" s="72">
        <v>44</v>
      </c>
      <c r="V16" s="72">
        <f>SUM(V$17,V$18,V$19)</f>
        <v>0.17894736842105266</v>
      </c>
      <c r="W16" s="72">
        <f>SUM(W$17,W$18,W$19)</f>
        <v>0</v>
      </c>
      <c r="X16" s="42">
        <f>IF($V16=0,0,$W16/$V16)</f>
        <v>0</v>
      </c>
      <c r="Y16" s="50">
        <v>45119</v>
      </c>
      <c r="Z16" s="47">
        <f>雷線基準日-$Y16</f>
        <v>17</v>
      </c>
      <c r="AA16" s="82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 t="s">
        <v>72</v>
      </c>
      <c r="AO16" s="80" t="s">
        <v>72</v>
      </c>
      <c r="AP16" s="80" t="s">
        <v>72</v>
      </c>
      <c r="AQ16" s="80" t="s">
        <v>72</v>
      </c>
      <c r="AR16" s="80" t="s">
        <v>72</v>
      </c>
      <c r="AS16" s="80" t="s">
        <v>72</v>
      </c>
      <c r="AT16" s="80" t="s">
        <v>72</v>
      </c>
      <c r="AU16" s="80" t="s">
        <v>72</v>
      </c>
      <c r="AV16" s="80" t="s">
        <v>72</v>
      </c>
      <c r="AW16" s="80" t="s">
        <v>72</v>
      </c>
      <c r="AX16" s="80" t="s">
        <v>72</v>
      </c>
      <c r="AY16" s="80" t="s">
        <v>72</v>
      </c>
      <c r="AZ16" s="80" t="s">
        <v>72</v>
      </c>
      <c r="BA16" s="80" t="s">
        <v>72</v>
      </c>
      <c r="BB16" s="80" t="s">
        <v>72</v>
      </c>
      <c r="BC16" s="80" t="s">
        <v>72</v>
      </c>
      <c r="BD16" s="80" t="s">
        <v>72</v>
      </c>
      <c r="BE16" s="80" t="s">
        <v>72</v>
      </c>
      <c r="BF16" s="80" t="s">
        <v>72</v>
      </c>
      <c r="BG16" s="80" t="s">
        <v>72</v>
      </c>
      <c r="BH16" s="80" t="s">
        <v>72</v>
      </c>
      <c r="BI16" s="80" t="s">
        <v>72</v>
      </c>
      <c r="BJ16" s="80" t="s">
        <v>72</v>
      </c>
      <c r="BK16" s="80" t="s">
        <v>72</v>
      </c>
      <c r="BL16" s="80" t="s">
        <v>72</v>
      </c>
      <c r="BM16" s="80" t="s">
        <v>72</v>
      </c>
      <c r="BN16" s="80" t="s">
        <v>72</v>
      </c>
      <c r="BO16" s="80" t="s">
        <v>72</v>
      </c>
      <c r="BP16" s="80" t="s">
        <v>72</v>
      </c>
      <c r="BQ16" s="80" t="s">
        <v>72</v>
      </c>
      <c r="BR16" s="80" t="s">
        <v>72</v>
      </c>
      <c r="BS16" s="80" t="s">
        <v>72</v>
      </c>
      <c r="BT16" s="80" t="s">
        <v>72</v>
      </c>
      <c r="BU16" s="80" t="s">
        <v>72</v>
      </c>
      <c r="BV16" s="80" t="s">
        <v>72</v>
      </c>
      <c r="BW16" s="80" t="s">
        <v>72</v>
      </c>
      <c r="BX16" s="80" t="s">
        <v>72</v>
      </c>
      <c r="BY16" s="80" t="s">
        <v>72</v>
      </c>
      <c r="BZ16" s="80" t="s">
        <v>72</v>
      </c>
      <c r="CA16" s="80" t="s">
        <v>72</v>
      </c>
      <c r="CB16" s="80" t="s">
        <v>72</v>
      </c>
      <c r="CC16" s="80" t="s">
        <v>72</v>
      </c>
      <c r="CD16" s="80" t="s">
        <v>72</v>
      </c>
      <c r="CE16" s="80" t="s">
        <v>72</v>
      </c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  <c r="DB16" s="80"/>
      <c r="DC16" s="80"/>
      <c r="DD16" s="80"/>
      <c r="DE16" s="80"/>
      <c r="DF16" s="80"/>
      <c r="DG16" s="80"/>
      <c r="DH16" s="80"/>
      <c r="DI16" s="80"/>
      <c r="DJ16" s="80"/>
      <c r="DK16" s="80"/>
      <c r="DL16" s="80"/>
      <c r="DM16" s="80"/>
      <c r="DN16" s="80"/>
      <c r="DO16" s="80"/>
      <c r="DP16" s="80"/>
      <c r="DQ16" s="80"/>
      <c r="DR16" s="80"/>
      <c r="DS16" s="80"/>
      <c r="DT16" s="80"/>
      <c r="DU16" s="80"/>
      <c r="DV16" s="80"/>
      <c r="DW16" s="80"/>
      <c r="DX16" s="80"/>
      <c r="DY16" s="80"/>
      <c r="DZ16" s="80"/>
      <c r="EA16" s="80"/>
      <c r="EB16" s="80"/>
      <c r="EC16" s="80"/>
      <c r="ED16" s="80"/>
      <c r="EE16" s="80"/>
      <c r="EF16" s="80"/>
      <c r="EG16" s="80"/>
      <c r="EH16" s="80"/>
      <c r="EI16" s="80"/>
      <c r="EJ16" s="80"/>
      <c r="EK16" s="80"/>
      <c r="EL16" s="80"/>
      <c r="EM16" s="80"/>
      <c r="EN16" s="80"/>
      <c r="EO16" s="80"/>
      <c r="EP16" s="80"/>
      <c r="EQ16" s="80"/>
      <c r="ER16" s="80"/>
      <c r="ES16" s="80"/>
      <c r="ET16" s="80"/>
      <c r="EU16" s="80"/>
      <c r="EV16" s="80"/>
      <c r="EW16" s="80"/>
      <c r="EX16" s="80"/>
      <c r="EY16" s="80"/>
      <c r="EZ16" s="80"/>
      <c r="FA16" s="80"/>
      <c r="FB16" s="80"/>
      <c r="FC16" s="80"/>
      <c r="FD16" s="80"/>
      <c r="FE16" s="80"/>
      <c r="FF16" s="80"/>
      <c r="FG16" s="80"/>
      <c r="FH16" s="80"/>
      <c r="FI16" s="80"/>
      <c r="FJ16" s="80"/>
      <c r="FK16" s="80"/>
      <c r="FL16" s="80"/>
      <c r="FM16" s="80"/>
      <c r="FN16" s="80"/>
      <c r="FO16" s="80"/>
      <c r="FP16" s="80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80"/>
      <c r="GC16" s="80"/>
      <c r="GD16" s="80"/>
      <c r="GE16" s="80"/>
      <c r="GF16" s="80"/>
      <c r="GG16" s="80"/>
      <c r="GH16" s="80"/>
      <c r="GI16" s="80"/>
      <c r="GJ16" s="80"/>
      <c r="GK16" s="80"/>
      <c r="GL16" s="80"/>
      <c r="GM16" s="80"/>
      <c r="GN16" s="80"/>
      <c r="GO16" s="80"/>
      <c r="GP16" s="80"/>
      <c r="GQ16" s="80"/>
      <c r="GR16" s="80"/>
      <c r="GS16" s="80"/>
      <c r="GT16" s="80"/>
      <c r="GU16" s="80"/>
      <c r="GV16" s="80"/>
      <c r="GW16" s="80"/>
      <c r="GX16" s="80"/>
      <c r="GY16" s="80"/>
      <c r="GZ16" s="80"/>
      <c r="HA16" s="80"/>
      <c r="HB16" s="80"/>
      <c r="HC16" s="80"/>
      <c r="HD16" s="81"/>
      <c r="HH16" s="78"/>
      <c r="HI16" s="78"/>
      <c r="HJ16" s="78"/>
      <c r="HK16" s="78"/>
      <c r="HL16" s="78"/>
      <c r="HM16" s="78"/>
      <c r="HN16" s="78"/>
      <c r="HO16" s="78"/>
      <c r="HP16" s="78"/>
      <c r="HQ16" s="78"/>
    </row>
    <row r="17" spans="1:225" customFormat="1">
      <c r="A17" s="108">
        <f t="shared" si="129"/>
        <v>14</v>
      </c>
      <c r="B17" s="109">
        <v>14</v>
      </c>
      <c r="C17" s="109"/>
      <c r="D17" s="109"/>
      <c r="E17" s="110"/>
      <c r="F17" s="111" t="s">
        <v>99</v>
      </c>
      <c r="G17" s="111"/>
      <c r="H17" s="111"/>
      <c r="I17" s="111"/>
      <c r="J17" s="111"/>
      <c r="K17" s="111"/>
      <c r="L17" s="111"/>
      <c r="M17" s="112"/>
      <c r="N17" s="113" t="s">
        <v>90</v>
      </c>
      <c r="O17" s="41">
        <v>0.2</v>
      </c>
      <c r="P17" s="114">
        <v>45120</v>
      </c>
      <c r="Q17" s="115">
        <v>45138</v>
      </c>
      <c r="R17" s="99"/>
      <c r="S17" s="100"/>
      <c r="T17" s="101"/>
      <c r="U17" s="27">
        <v>19</v>
      </c>
      <c r="V17" s="27">
        <v>0.17894736842105266</v>
      </c>
      <c r="W17" s="27">
        <v>0</v>
      </c>
      <c r="X17" s="26">
        <f>IF($V17=0,0,$W17/$V17)</f>
        <v>0</v>
      </c>
      <c r="Y17" s="116">
        <v>45119</v>
      </c>
      <c r="Z17" s="46">
        <f>雷線基準日-$Y17</f>
        <v>17</v>
      </c>
      <c r="AA17" s="73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17" t="s">
        <v>57</v>
      </c>
      <c r="AO17" s="117" t="s">
        <v>57</v>
      </c>
      <c r="AP17" s="117" t="s">
        <v>57</v>
      </c>
      <c r="AQ17" s="117" t="s">
        <v>57</v>
      </c>
      <c r="AR17" s="117" t="s">
        <v>57</v>
      </c>
      <c r="AS17" s="117" t="s">
        <v>57</v>
      </c>
      <c r="AT17" s="117" t="s">
        <v>57</v>
      </c>
      <c r="AU17" s="117" t="s">
        <v>57</v>
      </c>
      <c r="AV17" s="117" t="s">
        <v>57</v>
      </c>
      <c r="AW17" s="117" t="s">
        <v>57</v>
      </c>
      <c r="AX17" s="117" t="s">
        <v>57</v>
      </c>
      <c r="AY17" s="117" t="s">
        <v>57</v>
      </c>
      <c r="AZ17" s="117" t="s">
        <v>57</v>
      </c>
      <c r="BA17" s="117" t="s">
        <v>57</v>
      </c>
      <c r="BB17" s="117" t="s">
        <v>57</v>
      </c>
      <c r="BC17" s="117" t="s">
        <v>57</v>
      </c>
      <c r="BD17" s="117" t="s">
        <v>57</v>
      </c>
      <c r="BE17" s="117" t="s">
        <v>57</v>
      </c>
      <c r="BF17" s="117" t="s">
        <v>57</v>
      </c>
      <c r="BG17" s="117"/>
      <c r="BH17" s="117"/>
      <c r="BI17" s="117"/>
      <c r="BJ17" s="117"/>
      <c r="BK17" s="117"/>
      <c r="BL17" s="117"/>
      <c r="BM17" s="117"/>
      <c r="BN17" s="117"/>
      <c r="BO17" s="117"/>
      <c r="BP17" s="117"/>
      <c r="BQ17" s="117"/>
      <c r="BR17" s="117"/>
      <c r="BS17" s="117"/>
      <c r="BT17" s="117"/>
      <c r="BU17" s="117"/>
      <c r="BV17" s="117"/>
      <c r="BW17" s="117"/>
      <c r="BX17" s="117"/>
      <c r="BY17" s="117"/>
      <c r="BZ17" s="117"/>
      <c r="CA17" s="117"/>
      <c r="CB17" s="117"/>
      <c r="CC17" s="117"/>
      <c r="CD17" s="117"/>
      <c r="CE17" s="117"/>
      <c r="CF17" s="117"/>
      <c r="CG17" s="117"/>
      <c r="CH17" s="117"/>
      <c r="CI17" s="117"/>
      <c r="CJ17" s="117"/>
      <c r="CK17" s="117"/>
      <c r="CL17" s="117"/>
      <c r="CM17" s="117"/>
      <c r="CN17" s="117"/>
      <c r="CO17" s="117"/>
      <c r="CP17" s="117"/>
      <c r="CQ17" s="117"/>
      <c r="CR17" s="117"/>
      <c r="CS17" s="117"/>
      <c r="CT17" s="117"/>
      <c r="CU17" s="117"/>
      <c r="CV17" s="117"/>
      <c r="CW17" s="117"/>
      <c r="CX17" s="117"/>
      <c r="CY17" s="117"/>
      <c r="CZ17" s="117"/>
      <c r="DA17" s="117"/>
      <c r="DB17" s="117"/>
      <c r="DC17" s="117"/>
      <c r="DD17" s="117"/>
      <c r="DE17" s="117"/>
      <c r="DF17" s="117"/>
      <c r="DG17" s="117"/>
      <c r="DH17" s="117"/>
      <c r="DI17" s="117"/>
      <c r="DJ17" s="117"/>
      <c r="DK17" s="117"/>
      <c r="DL17" s="117"/>
      <c r="DM17" s="117"/>
      <c r="DN17" s="117"/>
      <c r="DO17" s="117"/>
      <c r="DP17" s="117"/>
      <c r="DQ17" s="117"/>
      <c r="DR17" s="117"/>
      <c r="DS17" s="117"/>
      <c r="DT17" s="117"/>
      <c r="DU17" s="117"/>
      <c r="DV17" s="117"/>
      <c r="DW17" s="117"/>
      <c r="DX17" s="117"/>
      <c r="DY17" s="117"/>
      <c r="DZ17" s="117"/>
      <c r="EA17" s="117"/>
      <c r="EB17" s="117"/>
      <c r="EC17" s="117"/>
      <c r="ED17" s="117"/>
      <c r="EE17" s="117"/>
      <c r="EF17" s="117"/>
      <c r="EG17" s="117"/>
      <c r="EH17" s="117"/>
      <c r="EI17" s="117"/>
      <c r="EJ17" s="117"/>
      <c r="EK17" s="117"/>
      <c r="EL17" s="117"/>
      <c r="EM17" s="117"/>
      <c r="EN17" s="117"/>
      <c r="EO17" s="117"/>
      <c r="EP17" s="117"/>
      <c r="EQ17" s="117"/>
      <c r="ER17" s="117"/>
      <c r="ES17" s="117"/>
      <c r="ET17" s="117"/>
      <c r="EU17" s="117"/>
      <c r="EV17" s="117"/>
      <c r="EW17" s="117"/>
      <c r="EX17" s="117"/>
      <c r="EY17" s="117"/>
      <c r="EZ17" s="117"/>
      <c r="FA17" s="117"/>
      <c r="FB17" s="117"/>
      <c r="FC17" s="117"/>
      <c r="FD17" s="117"/>
      <c r="FE17" s="117"/>
      <c r="FF17" s="117"/>
      <c r="FG17" s="117"/>
      <c r="FH17" s="117"/>
      <c r="FI17" s="117"/>
      <c r="FJ17" s="117"/>
      <c r="FK17" s="117"/>
      <c r="FL17" s="117"/>
      <c r="FM17" s="117"/>
      <c r="FN17" s="117"/>
      <c r="FO17" s="117"/>
      <c r="FP17" s="117"/>
      <c r="FQ17" s="117"/>
      <c r="FR17" s="117"/>
      <c r="FS17" s="117"/>
      <c r="FT17" s="117"/>
      <c r="FU17" s="117"/>
      <c r="FV17" s="117"/>
      <c r="FW17" s="117"/>
      <c r="FX17" s="117"/>
      <c r="FY17" s="117"/>
      <c r="FZ17" s="117"/>
      <c r="GA17" s="117"/>
      <c r="GB17" s="117"/>
      <c r="GC17" s="117"/>
      <c r="GD17" s="117"/>
      <c r="GE17" s="117"/>
      <c r="GF17" s="117"/>
      <c r="GG17" s="117"/>
      <c r="GH17" s="117"/>
      <c r="GI17" s="117"/>
      <c r="GJ17" s="117"/>
      <c r="GK17" s="117"/>
      <c r="GL17" s="117"/>
      <c r="GM17" s="117"/>
      <c r="GN17" s="117"/>
      <c r="GO17" s="117"/>
      <c r="GP17" s="117"/>
      <c r="GQ17" s="117"/>
      <c r="GR17" s="117"/>
      <c r="GS17" s="117"/>
      <c r="GT17" s="117"/>
      <c r="GU17" s="117"/>
      <c r="GV17" s="117"/>
      <c r="GW17" s="117"/>
      <c r="GX17" s="117"/>
      <c r="GY17" s="117"/>
      <c r="GZ17" s="117"/>
      <c r="HA17" s="117"/>
      <c r="HB17" s="117"/>
      <c r="HC17" s="117"/>
      <c r="HD17" s="118"/>
      <c r="HH17" s="3"/>
      <c r="HI17" s="3"/>
      <c r="HJ17" s="3"/>
      <c r="HK17" s="3"/>
      <c r="HL17" s="3"/>
      <c r="HM17" s="3"/>
      <c r="HN17" s="3"/>
      <c r="HO17" s="3"/>
      <c r="HP17" s="3"/>
      <c r="HQ17" s="3"/>
    </row>
    <row r="18" spans="1:225" customFormat="1">
      <c r="A18" s="108">
        <f t="shared" si="129"/>
        <v>15</v>
      </c>
      <c r="B18" s="109">
        <v>15</v>
      </c>
      <c r="C18" s="109"/>
      <c r="D18" s="109"/>
      <c r="E18" s="110"/>
      <c r="F18" s="111" t="s">
        <v>100</v>
      </c>
      <c r="G18" s="111"/>
      <c r="H18" s="111"/>
      <c r="I18" s="111"/>
      <c r="J18" s="111"/>
      <c r="K18" s="111"/>
      <c r="L18" s="111"/>
      <c r="M18" s="112"/>
      <c r="N18" s="113" t="s">
        <v>90</v>
      </c>
      <c r="O18" s="41">
        <v>0.2</v>
      </c>
      <c r="P18" s="114">
        <v>45139</v>
      </c>
      <c r="Q18" s="115">
        <v>45156</v>
      </c>
      <c r="R18" s="99"/>
      <c r="S18" s="100"/>
      <c r="T18" s="101"/>
      <c r="U18" s="27">
        <v>18</v>
      </c>
      <c r="V18" s="27">
        <v>0</v>
      </c>
      <c r="W18" s="27">
        <v>0</v>
      </c>
      <c r="X18" s="26">
        <f>IF($V18=0,0,$W18/$V18)</f>
        <v>0</v>
      </c>
      <c r="Y18" s="116"/>
      <c r="Z18" s="46"/>
      <c r="AA18" s="73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F18" s="117"/>
      <c r="BG18" s="117" t="s">
        <v>57</v>
      </c>
      <c r="BH18" s="117" t="s">
        <v>57</v>
      </c>
      <c r="BI18" s="117" t="s">
        <v>57</v>
      </c>
      <c r="BJ18" s="117" t="s">
        <v>57</v>
      </c>
      <c r="BK18" s="117" t="s">
        <v>57</v>
      </c>
      <c r="BL18" s="117" t="s">
        <v>57</v>
      </c>
      <c r="BM18" s="117" t="s">
        <v>57</v>
      </c>
      <c r="BN18" s="117" t="s">
        <v>57</v>
      </c>
      <c r="BO18" s="117" t="s">
        <v>57</v>
      </c>
      <c r="BP18" s="117" t="s">
        <v>57</v>
      </c>
      <c r="BQ18" s="117" t="s">
        <v>57</v>
      </c>
      <c r="BR18" s="117" t="s">
        <v>57</v>
      </c>
      <c r="BS18" s="117" t="s">
        <v>57</v>
      </c>
      <c r="BT18" s="117" t="s">
        <v>57</v>
      </c>
      <c r="BU18" s="117" t="s">
        <v>57</v>
      </c>
      <c r="BV18" s="117" t="s">
        <v>57</v>
      </c>
      <c r="BW18" s="117" t="s">
        <v>57</v>
      </c>
      <c r="BX18" s="117" t="s">
        <v>57</v>
      </c>
      <c r="BY18" s="117"/>
      <c r="BZ18" s="117"/>
      <c r="CA18" s="117"/>
      <c r="CB18" s="117"/>
      <c r="CC18" s="117"/>
      <c r="CD18" s="117"/>
      <c r="CE18" s="117"/>
      <c r="CF18" s="117"/>
      <c r="CG18" s="117"/>
      <c r="CH18" s="117"/>
      <c r="CI18" s="117"/>
      <c r="CJ18" s="117"/>
      <c r="CK18" s="117"/>
      <c r="CL18" s="117"/>
      <c r="CM18" s="117"/>
      <c r="CN18" s="117"/>
      <c r="CO18" s="117"/>
      <c r="CP18" s="117"/>
      <c r="CQ18" s="117"/>
      <c r="CR18" s="117"/>
      <c r="CS18" s="117"/>
      <c r="CT18" s="117"/>
      <c r="CU18" s="117"/>
      <c r="CV18" s="117"/>
      <c r="CW18" s="117"/>
      <c r="CX18" s="117"/>
      <c r="CY18" s="117"/>
      <c r="CZ18" s="117"/>
      <c r="DA18" s="117"/>
      <c r="DB18" s="117"/>
      <c r="DC18" s="117"/>
      <c r="DD18" s="117"/>
      <c r="DE18" s="117"/>
      <c r="DF18" s="117"/>
      <c r="DG18" s="117"/>
      <c r="DH18" s="117"/>
      <c r="DI18" s="117"/>
      <c r="DJ18" s="117"/>
      <c r="DK18" s="117"/>
      <c r="DL18" s="117"/>
      <c r="DM18" s="117"/>
      <c r="DN18" s="117"/>
      <c r="DO18" s="117"/>
      <c r="DP18" s="117"/>
      <c r="DQ18" s="117"/>
      <c r="DR18" s="117"/>
      <c r="DS18" s="117"/>
      <c r="DT18" s="117"/>
      <c r="DU18" s="117"/>
      <c r="DV18" s="117"/>
      <c r="DW18" s="117"/>
      <c r="DX18" s="117"/>
      <c r="DY18" s="117"/>
      <c r="DZ18" s="117"/>
      <c r="EA18" s="117"/>
      <c r="EB18" s="117"/>
      <c r="EC18" s="117"/>
      <c r="ED18" s="117"/>
      <c r="EE18" s="117"/>
      <c r="EF18" s="117"/>
      <c r="EG18" s="117"/>
      <c r="EH18" s="117"/>
      <c r="EI18" s="117"/>
      <c r="EJ18" s="117"/>
      <c r="EK18" s="117"/>
      <c r="EL18" s="117"/>
      <c r="EM18" s="117"/>
      <c r="EN18" s="117"/>
      <c r="EO18" s="117"/>
      <c r="EP18" s="117"/>
      <c r="EQ18" s="117"/>
      <c r="ER18" s="117"/>
      <c r="ES18" s="117"/>
      <c r="ET18" s="117"/>
      <c r="EU18" s="117"/>
      <c r="EV18" s="117"/>
      <c r="EW18" s="117"/>
      <c r="EX18" s="117"/>
      <c r="EY18" s="117"/>
      <c r="EZ18" s="117"/>
      <c r="FA18" s="117"/>
      <c r="FB18" s="117"/>
      <c r="FC18" s="117"/>
      <c r="FD18" s="117"/>
      <c r="FE18" s="117"/>
      <c r="FF18" s="117"/>
      <c r="FG18" s="117"/>
      <c r="FH18" s="117"/>
      <c r="FI18" s="117"/>
      <c r="FJ18" s="117"/>
      <c r="FK18" s="117"/>
      <c r="FL18" s="117"/>
      <c r="FM18" s="117"/>
      <c r="FN18" s="117"/>
      <c r="FO18" s="117"/>
      <c r="FP18" s="117"/>
      <c r="FQ18" s="117"/>
      <c r="FR18" s="117"/>
      <c r="FS18" s="117"/>
      <c r="FT18" s="117"/>
      <c r="FU18" s="117"/>
      <c r="FV18" s="117"/>
      <c r="FW18" s="117"/>
      <c r="FX18" s="117"/>
      <c r="FY18" s="117"/>
      <c r="FZ18" s="117"/>
      <c r="GA18" s="117"/>
      <c r="GB18" s="117"/>
      <c r="GC18" s="117"/>
      <c r="GD18" s="117"/>
      <c r="GE18" s="117"/>
      <c r="GF18" s="117"/>
      <c r="GG18" s="117"/>
      <c r="GH18" s="117"/>
      <c r="GI18" s="117"/>
      <c r="GJ18" s="117"/>
      <c r="GK18" s="117"/>
      <c r="GL18" s="117"/>
      <c r="GM18" s="117"/>
      <c r="GN18" s="117"/>
      <c r="GO18" s="117"/>
      <c r="GP18" s="117"/>
      <c r="GQ18" s="117"/>
      <c r="GR18" s="117"/>
      <c r="GS18" s="117"/>
      <c r="GT18" s="117"/>
      <c r="GU18" s="117"/>
      <c r="GV18" s="117"/>
      <c r="GW18" s="117"/>
      <c r="GX18" s="117"/>
      <c r="GY18" s="117"/>
      <c r="GZ18" s="117"/>
      <c r="HA18" s="117"/>
      <c r="HB18" s="117"/>
      <c r="HC18" s="117"/>
      <c r="HD18" s="118"/>
      <c r="HH18" s="3"/>
      <c r="HI18" s="3"/>
      <c r="HJ18" s="3"/>
      <c r="HK18" s="3"/>
      <c r="HL18" s="3"/>
      <c r="HM18" s="3"/>
      <c r="HN18" s="3"/>
      <c r="HO18" s="3"/>
      <c r="HP18" s="3"/>
      <c r="HQ18" s="3"/>
    </row>
    <row r="19" spans="1:225" customFormat="1">
      <c r="A19" s="108">
        <f t="shared" si="129"/>
        <v>16</v>
      </c>
      <c r="B19" s="109">
        <v>16</v>
      </c>
      <c r="C19" s="109"/>
      <c r="D19" s="109"/>
      <c r="E19" s="110"/>
      <c r="F19" s="111" t="s">
        <v>91</v>
      </c>
      <c r="G19" s="111"/>
      <c r="H19" s="111"/>
      <c r="I19" s="111"/>
      <c r="J19" s="111"/>
      <c r="K19" s="111"/>
      <c r="L19" s="111"/>
      <c r="M19" s="112"/>
      <c r="N19" s="113" t="s">
        <v>90</v>
      </c>
      <c r="O19" s="41">
        <v>1</v>
      </c>
      <c r="P19" s="114">
        <v>45139</v>
      </c>
      <c r="Q19" s="115">
        <v>45163</v>
      </c>
      <c r="R19" s="99"/>
      <c r="S19" s="100"/>
      <c r="T19" s="101"/>
      <c r="U19" s="27">
        <v>25</v>
      </c>
      <c r="V19" s="27">
        <v>0</v>
      </c>
      <c r="W19" s="27">
        <v>0</v>
      </c>
      <c r="X19" s="26">
        <f>IF($V19=0,0,$W19/$V19)</f>
        <v>0</v>
      </c>
      <c r="Y19" s="116"/>
      <c r="Z19" s="46"/>
      <c r="AA19" s="73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 t="s">
        <v>57</v>
      </c>
      <c r="BH19" s="117" t="s">
        <v>57</v>
      </c>
      <c r="BI19" s="117" t="s">
        <v>57</v>
      </c>
      <c r="BJ19" s="117" t="s">
        <v>57</v>
      </c>
      <c r="BK19" s="117" t="s">
        <v>57</v>
      </c>
      <c r="BL19" s="117" t="s">
        <v>57</v>
      </c>
      <c r="BM19" s="117" t="s">
        <v>57</v>
      </c>
      <c r="BN19" s="117" t="s">
        <v>57</v>
      </c>
      <c r="BO19" s="117" t="s">
        <v>57</v>
      </c>
      <c r="BP19" s="117" t="s">
        <v>57</v>
      </c>
      <c r="BQ19" s="117" t="s">
        <v>57</v>
      </c>
      <c r="BR19" s="117" t="s">
        <v>57</v>
      </c>
      <c r="BS19" s="117" t="s">
        <v>57</v>
      </c>
      <c r="BT19" s="117" t="s">
        <v>57</v>
      </c>
      <c r="BU19" s="117" t="s">
        <v>57</v>
      </c>
      <c r="BV19" s="117" t="s">
        <v>57</v>
      </c>
      <c r="BW19" s="117" t="s">
        <v>57</v>
      </c>
      <c r="BX19" s="117" t="s">
        <v>57</v>
      </c>
      <c r="BY19" s="117" t="s">
        <v>57</v>
      </c>
      <c r="BZ19" s="117" t="s">
        <v>57</v>
      </c>
      <c r="CA19" s="117" t="s">
        <v>57</v>
      </c>
      <c r="CB19" s="117" t="s">
        <v>57</v>
      </c>
      <c r="CC19" s="117" t="s">
        <v>57</v>
      </c>
      <c r="CD19" s="117" t="s">
        <v>57</v>
      </c>
      <c r="CE19" s="117" t="s">
        <v>57</v>
      </c>
      <c r="CF19" s="117"/>
      <c r="CG19" s="117"/>
      <c r="CH19" s="117"/>
      <c r="CI19" s="117"/>
      <c r="CJ19" s="117"/>
      <c r="CK19" s="117"/>
      <c r="CL19" s="117"/>
      <c r="CM19" s="117"/>
      <c r="CN19" s="117"/>
      <c r="CO19" s="117"/>
      <c r="CP19" s="117"/>
      <c r="CQ19" s="117"/>
      <c r="CR19" s="117"/>
      <c r="CS19" s="117"/>
      <c r="CT19" s="117"/>
      <c r="CU19" s="117"/>
      <c r="CV19" s="117"/>
      <c r="CW19" s="117"/>
      <c r="CX19" s="117"/>
      <c r="CY19" s="117"/>
      <c r="CZ19" s="117"/>
      <c r="DA19" s="117"/>
      <c r="DB19" s="117"/>
      <c r="DC19" s="117"/>
      <c r="DD19" s="117"/>
      <c r="DE19" s="117"/>
      <c r="DF19" s="117"/>
      <c r="DG19" s="117"/>
      <c r="DH19" s="117"/>
      <c r="DI19" s="117"/>
      <c r="DJ19" s="117"/>
      <c r="DK19" s="117"/>
      <c r="DL19" s="117"/>
      <c r="DM19" s="117"/>
      <c r="DN19" s="117"/>
      <c r="DO19" s="117"/>
      <c r="DP19" s="117"/>
      <c r="DQ19" s="117"/>
      <c r="DR19" s="117"/>
      <c r="DS19" s="117"/>
      <c r="DT19" s="117"/>
      <c r="DU19" s="117"/>
      <c r="DV19" s="117"/>
      <c r="DW19" s="117"/>
      <c r="DX19" s="117"/>
      <c r="DY19" s="117"/>
      <c r="DZ19" s="117"/>
      <c r="EA19" s="117"/>
      <c r="EB19" s="117"/>
      <c r="EC19" s="117"/>
      <c r="ED19" s="117"/>
      <c r="EE19" s="117"/>
      <c r="EF19" s="117"/>
      <c r="EG19" s="117"/>
      <c r="EH19" s="117"/>
      <c r="EI19" s="117"/>
      <c r="EJ19" s="117"/>
      <c r="EK19" s="117"/>
      <c r="EL19" s="117"/>
      <c r="EM19" s="117"/>
      <c r="EN19" s="117"/>
      <c r="EO19" s="117"/>
      <c r="EP19" s="117"/>
      <c r="EQ19" s="117"/>
      <c r="ER19" s="117"/>
      <c r="ES19" s="117"/>
      <c r="ET19" s="117"/>
      <c r="EU19" s="117"/>
      <c r="EV19" s="117"/>
      <c r="EW19" s="117"/>
      <c r="EX19" s="117"/>
      <c r="EY19" s="117"/>
      <c r="EZ19" s="117"/>
      <c r="FA19" s="117"/>
      <c r="FB19" s="117"/>
      <c r="FC19" s="117"/>
      <c r="FD19" s="117"/>
      <c r="FE19" s="117"/>
      <c r="FF19" s="117"/>
      <c r="FG19" s="117"/>
      <c r="FH19" s="117"/>
      <c r="FI19" s="117"/>
      <c r="FJ19" s="117"/>
      <c r="FK19" s="117"/>
      <c r="FL19" s="117"/>
      <c r="FM19" s="117"/>
      <c r="FN19" s="117"/>
      <c r="FO19" s="117"/>
      <c r="FP19" s="117"/>
      <c r="FQ19" s="117"/>
      <c r="FR19" s="117"/>
      <c r="FS19" s="117"/>
      <c r="FT19" s="117"/>
      <c r="FU19" s="117"/>
      <c r="FV19" s="117"/>
      <c r="FW19" s="117"/>
      <c r="FX19" s="117"/>
      <c r="FY19" s="117"/>
      <c r="FZ19" s="117"/>
      <c r="GA19" s="117"/>
      <c r="GB19" s="117"/>
      <c r="GC19" s="117"/>
      <c r="GD19" s="117"/>
      <c r="GE19" s="117"/>
      <c r="GF19" s="117"/>
      <c r="GG19" s="117"/>
      <c r="GH19" s="117"/>
      <c r="GI19" s="117"/>
      <c r="GJ19" s="117"/>
      <c r="GK19" s="117"/>
      <c r="GL19" s="117"/>
      <c r="GM19" s="117"/>
      <c r="GN19" s="117"/>
      <c r="GO19" s="117"/>
      <c r="GP19" s="117"/>
      <c r="GQ19" s="117"/>
      <c r="GR19" s="117"/>
      <c r="GS19" s="117"/>
      <c r="GT19" s="117"/>
      <c r="GU19" s="117"/>
      <c r="GV19" s="117"/>
      <c r="GW19" s="117"/>
      <c r="GX19" s="117"/>
      <c r="GY19" s="117"/>
      <c r="GZ19" s="117"/>
      <c r="HA19" s="117"/>
      <c r="HB19" s="117"/>
      <c r="HC19" s="117"/>
      <c r="HD19" s="118"/>
      <c r="HH19" s="3"/>
      <c r="HI19" s="3"/>
      <c r="HJ19" s="3"/>
      <c r="HK19" s="3"/>
      <c r="HL19" s="3"/>
      <c r="HM19" s="3"/>
      <c r="HN19" s="3"/>
      <c r="HO19" s="3"/>
      <c r="HP19" s="3"/>
      <c r="HQ19" s="3"/>
    </row>
    <row r="20" spans="1:225" s="77" customFormat="1" ht="18">
      <c r="A20" s="107">
        <f t="shared" si="129"/>
        <v>17</v>
      </c>
      <c r="B20" s="79">
        <v>17</v>
      </c>
      <c r="C20" s="79"/>
      <c r="D20" s="79"/>
      <c r="E20" s="68" t="s">
        <v>93</v>
      </c>
      <c r="F20" s="69"/>
      <c r="G20" s="69"/>
      <c r="H20" s="69"/>
      <c r="I20" s="69"/>
      <c r="J20" s="69"/>
      <c r="K20" s="69"/>
      <c r="L20" s="69"/>
      <c r="M20" s="70"/>
      <c r="N20" s="71"/>
      <c r="O20" s="65">
        <f>SUM(O$21,O$22)</f>
        <v>1</v>
      </c>
      <c r="P20" s="66">
        <f>IF(MIN(P$21,P$22)=0,"",MIN(P$21,P$22))</f>
        <v>45159</v>
      </c>
      <c r="Q20" s="67">
        <f>IF(MAX(Q$21,Q$22)=0,"",MAX(Q$21,Q$22))</f>
        <v>45163</v>
      </c>
      <c r="R20" s="97" t="str">
        <f>IF(MIN(R$21,R$22)=0,"",MIN(R$21,R$22))</f>
        <v/>
      </c>
      <c r="S20" s="98" t="str">
        <f>IF($T20&lt;&gt;1,"",IF(MAX(S$21,S$22)=0,"",MAX(S$21,S$22)))</f>
        <v/>
      </c>
      <c r="T20" s="43">
        <f>IF($O20=0,0,$W20/$O20)</f>
        <v>0</v>
      </c>
      <c r="U20" s="72">
        <v>5</v>
      </c>
      <c r="V20" s="72">
        <f>SUM(V$21,V$22)</f>
        <v>0</v>
      </c>
      <c r="W20" s="72">
        <f>SUM(W$21,W$22)</f>
        <v>0</v>
      </c>
      <c r="X20" s="42">
        <f>IF($V20=0,0,$W20/$V20)</f>
        <v>0</v>
      </c>
      <c r="Y20" s="50"/>
      <c r="Z20" s="47"/>
      <c r="AA20" s="82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 t="s">
        <v>72</v>
      </c>
      <c r="CB20" s="80" t="s">
        <v>72</v>
      </c>
      <c r="CC20" s="80" t="s">
        <v>72</v>
      </c>
      <c r="CD20" s="80" t="s">
        <v>72</v>
      </c>
      <c r="CE20" s="80" t="s">
        <v>72</v>
      </c>
      <c r="CF20" s="80"/>
      <c r="CG20" s="80"/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  <c r="DN20" s="80"/>
      <c r="DO20" s="80"/>
      <c r="DP20" s="80"/>
      <c r="DQ20" s="80"/>
      <c r="DR20" s="80"/>
      <c r="DS20" s="80"/>
      <c r="DT20" s="80"/>
      <c r="DU20" s="80"/>
      <c r="DV20" s="80"/>
      <c r="DW20" s="80"/>
      <c r="DX20" s="80"/>
      <c r="DY20" s="80"/>
      <c r="DZ20" s="80"/>
      <c r="EA20" s="80"/>
      <c r="EB20" s="80"/>
      <c r="EC20" s="80"/>
      <c r="ED20" s="80"/>
      <c r="EE20" s="80"/>
      <c r="EF20" s="80"/>
      <c r="EG20" s="80"/>
      <c r="EH20" s="80"/>
      <c r="EI20" s="80"/>
      <c r="EJ20" s="80"/>
      <c r="EK20" s="80"/>
      <c r="EL20" s="80"/>
      <c r="EM20" s="80"/>
      <c r="EN20" s="80"/>
      <c r="EO20" s="80"/>
      <c r="EP20" s="80"/>
      <c r="EQ20" s="80"/>
      <c r="ER20" s="80"/>
      <c r="ES20" s="80"/>
      <c r="ET20" s="80"/>
      <c r="EU20" s="80"/>
      <c r="EV20" s="80"/>
      <c r="EW20" s="80"/>
      <c r="EX20" s="80"/>
      <c r="EY20" s="80"/>
      <c r="EZ20" s="80"/>
      <c r="FA20" s="80"/>
      <c r="FB20" s="80"/>
      <c r="FC20" s="80"/>
      <c r="FD20" s="80"/>
      <c r="FE20" s="80"/>
      <c r="FF20" s="80"/>
      <c r="FG20" s="80"/>
      <c r="FH20" s="80"/>
      <c r="FI20" s="80"/>
      <c r="FJ20" s="80"/>
      <c r="FK20" s="80"/>
      <c r="FL20" s="80"/>
      <c r="FM20" s="80"/>
      <c r="FN20" s="80"/>
      <c r="FO20" s="80"/>
      <c r="FP20" s="80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80"/>
      <c r="GC20" s="80"/>
      <c r="GD20" s="80"/>
      <c r="GE20" s="80"/>
      <c r="GF20" s="80"/>
      <c r="GG20" s="80"/>
      <c r="GH20" s="80"/>
      <c r="GI20" s="80"/>
      <c r="GJ20" s="80"/>
      <c r="GK20" s="80"/>
      <c r="GL20" s="80"/>
      <c r="GM20" s="80"/>
      <c r="GN20" s="80"/>
      <c r="GO20" s="80"/>
      <c r="GP20" s="80"/>
      <c r="GQ20" s="80"/>
      <c r="GR20" s="80"/>
      <c r="GS20" s="80"/>
      <c r="GT20" s="80"/>
      <c r="GU20" s="80"/>
      <c r="GV20" s="80"/>
      <c r="GW20" s="80"/>
      <c r="GX20" s="80"/>
      <c r="GY20" s="80"/>
      <c r="GZ20" s="80"/>
      <c r="HA20" s="80"/>
      <c r="HB20" s="80"/>
      <c r="HC20" s="80"/>
      <c r="HD20" s="81"/>
      <c r="HH20" s="78"/>
      <c r="HI20" s="78"/>
      <c r="HJ20" s="78"/>
      <c r="HK20" s="78"/>
      <c r="HL20" s="78"/>
      <c r="HM20" s="78"/>
      <c r="HN20" s="78"/>
      <c r="HO20" s="78"/>
      <c r="HP20" s="78"/>
      <c r="HQ20" s="78"/>
    </row>
    <row r="21" spans="1:225" s="77" customFormat="1">
      <c r="A21" s="108">
        <f t="shared" si="129"/>
        <v>18</v>
      </c>
      <c r="B21" s="85">
        <v>18</v>
      </c>
      <c r="C21" s="85"/>
      <c r="D21" s="85"/>
      <c r="E21" s="60"/>
      <c r="F21" s="61" t="s">
        <v>96</v>
      </c>
      <c r="G21" s="61"/>
      <c r="H21" s="61"/>
      <c r="I21" s="61"/>
      <c r="J21" s="61"/>
      <c r="K21" s="61"/>
      <c r="L21" s="61"/>
      <c r="M21" s="62"/>
      <c r="N21" s="63"/>
      <c r="O21" s="41"/>
      <c r="P21" s="102"/>
      <c r="Q21" s="103"/>
      <c r="R21" s="99"/>
      <c r="S21" s="100"/>
      <c r="T21" s="101"/>
      <c r="U21" s="64"/>
      <c r="V21" s="64"/>
      <c r="W21" s="64"/>
      <c r="X21" s="74"/>
      <c r="Y21" s="86"/>
      <c r="Z21" s="89"/>
      <c r="AA21" s="90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8"/>
      <c r="HE21" s="83"/>
      <c r="HF21" s="83"/>
      <c r="HG21" s="83"/>
      <c r="HH21" s="84"/>
      <c r="HI21" s="84"/>
      <c r="HJ21" s="84"/>
      <c r="HK21" s="84"/>
      <c r="HL21" s="84"/>
      <c r="HM21" s="84"/>
      <c r="HN21" s="84"/>
      <c r="HO21" s="84"/>
      <c r="HP21" s="84"/>
      <c r="HQ21" s="84"/>
    </row>
    <row r="22" spans="1:225" customFormat="1">
      <c r="A22" s="108">
        <f t="shared" si="129"/>
        <v>19</v>
      </c>
      <c r="B22" s="109">
        <v>19</v>
      </c>
      <c r="C22" s="109"/>
      <c r="D22" s="109"/>
      <c r="E22" s="110"/>
      <c r="F22" s="111" t="s">
        <v>101</v>
      </c>
      <c r="G22" s="111"/>
      <c r="H22" s="111"/>
      <c r="I22" s="111"/>
      <c r="J22" s="111"/>
      <c r="K22" s="111"/>
      <c r="L22" s="111"/>
      <c r="M22" s="112"/>
      <c r="N22" s="113" t="s">
        <v>90</v>
      </c>
      <c r="O22" s="41">
        <v>1</v>
      </c>
      <c r="P22" s="114">
        <v>45159</v>
      </c>
      <c r="Q22" s="115">
        <v>45163</v>
      </c>
      <c r="R22" s="99"/>
      <c r="S22" s="100"/>
      <c r="T22" s="101"/>
      <c r="U22" s="27">
        <v>5</v>
      </c>
      <c r="V22" s="27">
        <v>0</v>
      </c>
      <c r="W22" s="27">
        <v>0</v>
      </c>
      <c r="X22" s="26">
        <f>IF($V22=0,0,$W22/$V22)</f>
        <v>0</v>
      </c>
      <c r="Y22" s="116"/>
      <c r="Z22" s="46"/>
      <c r="AA22" s="73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  <c r="BI22" s="117"/>
      <c r="BJ22" s="117"/>
      <c r="BK22" s="117"/>
      <c r="BL22" s="117"/>
      <c r="BM22" s="117"/>
      <c r="BN22" s="117"/>
      <c r="BO22" s="117"/>
      <c r="BP22" s="117"/>
      <c r="BQ22" s="117"/>
      <c r="BR22" s="117"/>
      <c r="BS22" s="117"/>
      <c r="BT22" s="117"/>
      <c r="BU22" s="117"/>
      <c r="BV22" s="117"/>
      <c r="BW22" s="117"/>
      <c r="BX22" s="117"/>
      <c r="BY22" s="117"/>
      <c r="BZ22" s="117"/>
      <c r="CA22" s="117" t="s">
        <v>57</v>
      </c>
      <c r="CB22" s="117" t="s">
        <v>57</v>
      </c>
      <c r="CC22" s="117" t="s">
        <v>57</v>
      </c>
      <c r="CD22" s="117" t="s">
        <v>57</v>
      </c>
      <c r="CE22" s="117" t="s">
        <v>57</v>
      </c>
      <c r="CF22" s="117"/>
      <c r="CG22" s="117"/>
      <c r="CH22" s="117"/>
      <c r="CI22" s="117"/>
      <c r="CJ22" s="117"/>
      <c r="CK22" s="117"/>
      <c r="CL22" s="117"/>
      <c r="CM22" s="117"/>
      <c r="CN22" s="117"/>
      <c r="CO22" s="117"/>
      <c r="CP22" s="117"/>
      <c r="CQ22" s="117"/>
      <c r="CR22" s="117"/>
      <c r="CS22" s="117"/>
      <c r="CT22" s="117"/>
      <c r="CU22" s="117"/>
      <c r="CV22" s="117"/>
      <c r="CW22" s="117"/>
      <c r="CX22" s="117"/>
      <c r="CY22" s="117"/>
      <c r="CZ22" s="117"/>
      <c r="DA22" s="117"/>
      <c r="DB22" s="117"/>
      <c r="DC22" s="117"/>
      <c r="DD22" s="117"/>
      <c r="DE22" s="117"/>
      <c r="DF22" s="117"/>
      <c r="DG22" s="117"/>
      <c r="DH22" s="117"/>
      <c r="DI22" s="117"/>
      <c r="DJ22" s="117"/>
      <c r="DK22" s="117"/>
      <c r="DL22" s="117"/>
      <c r="DM22" s="117"/>
      <c r="DN22" s="117"/>
      <c r="DO22" s="117"/>
      <c r="DP22" s="117"/>
      <c r="DQ22" s="117"/>
      <c r="DR22" s="117"/>
      <c r="DS22" s="117"/>
      <c r="DT22" s="117"/>
      <c r="DU22" s="117"/>
      <c r="DV22" s="117"/>
      <c r="DW22" s="117"/>
      <c r="DX22" s="117"/>
      <c r="DY22" s="117"/>
      <c r="DZ22" s="117"/>
      <c r="EA22" s="117"/>
      <c r="EB22" s="117"/>
      <c r="EC22" s="117"/>
      <c r="ED22" s="117"/>
      <c r="EE22" s="117"/>
      <c r="EF22" s="117"/>
      <c r="EG22" s="117"/>
      <c r="EH22" s="117"/>
      <c r="EI22" s="117"/>
      <c r="EJ22" s="117"/>
      <c r="EK22" s="117"/>
      <c r="EL22" s="117"/>
      <c r="EM22" s="117"/>
      <c r="EN22" s="117"/>
      <c r="EO22" s="117"/>
      <c r="EP22" s="117"/>
      <c r="EQ22" s="117"/>
      <c r="ER22" s="117"/>
      <c r="ES22" s="117"/>
      <c r="ET22" s="117"/>
      <c r="EU22" s="117"/>
      <c r="EV22" s="117"/>
      <c r="EW22" s="117"/>
      <c r="EX22" s="117"/>
      <c r="EY22" s="117"/>
      <c r="EZ22" s="117"/>
      <c r="FA22" s="117"/>
      <c r="FB22" s="117"/>
      <c r="FC22" s="117"/>
      <c r="FD22" s="117"/>
      <c r="FE22" s="117"/>
      <c r="FF22" s="117"/>
      <c r="FG22" s="117"/>
      <c r="FH22" s="117"/>
      <c r="FI22" s="117"/>
      <c r="FJ22" s="117"/>
      <c r="FK22" s="117"/>
      <c r="FL22" s="117"/>
      <c r="FM22" s="117"/>
      <c r="FN22" s="117"/>
      <c r="FO22" s="117"/>
      <c r="FP22" s="117"/>
      <c r="FQ22" s="117"/>
      <c r="FR22" s="117"/>
      <c r="FS22" s="117"/>
      <c r="FT22" s="117"/>
      <c r="FU22" s="117"/>
      <c r="FV22" s="117"/>
      <c r="FW22" s="117"/>
      <c r="FX22" s="117"/>
      <c r="FY22" s="117"/>
      <c r="FZ22" s="117"/>
      <c r="GA22" s="117"/>
      <c r="GB22" s="117"/>
      <c r="GC22" s="117"/>
      <c r="GD22" s="117"/>
      <c r="GE22" s="117"/>
      <c r="GF22" s="117"/>
      <c r="GG22" s="117"/>
      <c r="GH22" s="117"/>
      <c r="GI22" s="117"/>
      <c r="GJ22" s="117"/>
      <c r="GK22" s="117"/>
      <c r="GL22" s="117"/>
      <c r="GM22" s="117"/>
      <c r="GN22" s="117"/>
      <c r="GO22" s="117"/>
      <c r="GP22" s="117"/>
      <c r="GQ22" s="117"/>
      <c r="GR22" s="117"/>
      <c r="GS22" s="117"/>
      <c r="GT22" s="117"/>
      <c r="GU22" s="117"/>
      <c r="GV22" s="117"/>
      <c r="GW22" s="117"/>
      <c r="GX22" s="117"/>
      <c r="GY22" s="117"/>
      <c r="GZ22" s="117"/>
      <c r="HA22" s="117"/>
      <c r="HB22" s="117"/>
      <c r="HC22" s="117"/>
      <c r="HD22" s="118"/>
      <c r="HH22" s="3"/>
      <c r="HI22" s="3"/>
      <c r="HJ22" s="3"/>
      <c r="HK22" s="3"/>
      <c r="HL22" s="3"/>
      <c r="HM22" s="3"/>
      <c r="HN22" s="3"/>
      <c r="HO22" s="3"/>
      <c r="HP22" s="3"/>
      <c r="HQ22" s="3"/>
    </row>
    <row r="23" spans="1:225" s="77" customFormat="1" ht="18">
      <c r="A23" s="107">
        <f t="shared" si="129"/>
        <v>20</v>
      </c>
      <c r="B23" s="79">
        <v>20</v>
      </c>
      <c r="C23" s="79"/>
      <c r="D23" s="79"/>
      <c r="E23" s="68" t="s">
        <v>97</v>
      </c>
      <c r="F23" s="69"/>
      <c r="G23" s="69"/>
      <c r="H23" s="69"/>
      <c r="I23" s="69"/>
      <c r="J23" s="69"/>
      <c r="K23" s="69"/>
      <c r="L23" s="69"/>
      <c r="M23" s="70"/>
      <c r="N23" s="71"/>
      <c r="O23" s="65">
        <f>SUM(O$24)</f>
        <v>0</v>
      </c>
      <c r="P23" s="66" t="str">
        <f>IF(MIN(P$24)=0,"",MIN(P$24))</f>
        <v/>
      </c>
      <c r="Q23" s="67" t="str">
        <f>IF(MAX(Q$24)=0,"",MAX(Q$24))</f>
        <v/>
      </c>
      <c r="R23" s="97" t="str">
        <f>IF(MIN(R$24)=0,"",MIN(R$24))</f>
        <v/>
      </c>
      <c r="S23" s="98" t="str">
        <f>IF($T23&lt;&gt;1,"",IF(MAX(S$24)=0,"",MAX(S$24)))</f>
        <v/>
      </c>
      <c r="T23" s="43">
        <f>IF($O23=0,0,$W23/$O23)</f>
        <v>0</v>
      </c>
      <c r="U23" s="72"/>
      <c r="V23" s="72">
        <f>SUM(V$24)</f>
        <v>0</v>
      </c>
      <c r="W23" s="72">
        <f>SUM(W$24)</f>
        <v>0</v>
      </c>
      <c r="X23" s="42"/>
      <c r="Y23" s="50"/>
      <c r="Z23" s="47"/>
      <c r="AA23" s="82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80"/>
      <c r="CF23" s="80"/>
      <c r="CG23" s="80"/>
      <c r="CH23" s="80"/>
      <c r="CI23" s="80"/>
      <c r="CJ23" s="80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A23" s="80"/>
      <c r="DB23" s="80"/>
      <c r="DC23" s="80"/>
      <c r="DD23" s="80"/>
      <c r="DE23" s="80"/>
      <c r="DF23" s="80"/>
      <c r="DG23" s="80"/>
      <c r="DH23" s="80"/>
      <c r="DI23" s="80"/>
      <c r="DJ23" s="80"/>
      <c r="DK23" s="80"/>
      <c r="DL23" s="80"/>
      <c r="DM23" s="80"/>
      <c r="DN23" s="80"/>
      <c r="DO23" s="80"/>
      <c r="DP23" s="80"/>
      <c r="DQ23" s="80"/>
      <c r="DR23" s="80"/>
      <c r="DS23" s="80"/>
      <c r="DT23" s="80"/>
      <c r="DU23" s="80"/>
      <c r="DV23" s="80"/>
      <c r="DW23" s="80"/>
      <c r="DX23" s="80"/>
      <c r="DY23" s="80"/>
      <c r="DZ23" s="80"/>
      <c r="EA23" s="80"/>
      <c r="EB23" s="80"/>
      <c r="EC23" s="80"/>
      <c r="ED23" s="80"/>
      <c r="EE23" s="80"/>
      <c r="EF23" s="80"/>
      <c r="EG23" s="80"/>
      <c r="EH23" s="80"/>
      <c r="EI23" s="80"/>
      <c r="EJ23" s="80"/>
      <c r="EK23" s="80"/>
      <c r="EL23" s="80"/>
      <c r="EM23" s="80"/>
      <c r="EN23" s="80"/>
      <c r="EO23" s="80"/>
      <c r="EP23" s="80"/>
      <c r="EQ23" s="80"/>
      <c r="ER23" s="80"/>
      <c r="ES23" s="80"/>
      <c r="ET23" s="80"/>
      <c r="EU23" s="80"/>
      <c r="EV23" s="80"/>
      <c r="EW23" s="80"/>
      <c r="EX23" s="80"/>
      <c r="EY23" s="80"/>
      <c r="EZ23" s="80"/>
      <c r="FA23" s="80"/>
      <c r="FB23" s="80"/>
      <c r="FC23" s="80"/>
      <c r="FD23" s="80"/>
      <c r="FE23" s="80"/>
      <c r="FF23" s="80"/>
      <c r="FG23" s="80"/>
      <c r="FH23" s="80"/>
      <c r="FI23" s="80"/>
      <c r="FJ23" s="80"/>
      <c r="FK23" s="80"/>
      <c r="FL23" s="80"/>
      <c r="FM23" s="80"/>
      <c r="FN23" s="80"/>
      <c r="FO23" s="80"/>
      <c r="FP23" s="80"/>
      <c r="FQ23" s="80"/>
      <c r="FR23" s="80"/>
      <c r="FS23" s="80"/>
      <c r="FT23" s="80"/>
      <c r="FU23" s="80"/>
      <c r="FV23" s="80"/>
      <c r="FW23" s="80"/>
      <c r="FX23" s="80"/>
      <c r="FY23" s="80"/>
      <c r="FZ23" s="80"/>
      <c r="GA23" s="80"/>
      <c r="GB23" s="80"/>
      <c r="GC23" s="80"/>
      <c r="GD23" s="80"/>
      <c r="GE23" s="80"/>
      <c r="GF23" s="80"/>
      <c r="GG23" s="80"/>
      <c r="GH23" s="80"/>
      <c r="GI23" s="80"/>
      <c r="GJ23" s="80"/>
      <c r="GK23" s="80"/>
      <c r="GL23" s="80"/>
      <c r="GM23" s="80"/>
      <c r="GN23" s="80"/>
      <c r="GO23" s="80"/>
      <c r="GP23" s="80"/>
      <c r="GQ23" s="80"/>
      <c r="GR23" s="80"/>
      <c r="GS23" s="80"/>
      <c r="GT23" s="80"/>
      <c r="GU23" s="80"/>
      <c r="GV23" s="80"/>
      <c r="GW23" s="80"/>
      <c r="GX23" s="80"/>
      <c r="GY23" s="80"/>
      <c r="GZ23" s="80"/>
      <c r="HA23" s="80"/>
      <c r="HB23" s="80"/>
      <c r="HC23" s="80"/>
      <c r="HD23" s="81"/>
      <c r="HH23" s="78"/>
      <c r="HI23" s="78"/>
      <c r="HJ23" s="78"/>
      <c r="HK23" s="78"/>
      <c r="HL23" s="78"/>
      <c r="HM23" s="78"/>
      <c r="HN23" s="78"/>
      <c r="HO23" s="78"/>
      <c r="HP23" s="78"/>
      <c r="HQ23" s="78"/>
    </row>
    <row r="24" spans="1:225" s="77" customFormat="1">
      <c r="A24" s="108">
        <f t="shared" si="129"/>
        <v>21</v>
      </c>
      <c r="B24" s="85">
        <v>21</v>
      </c>
      <c r="C24" s="85"/>
      <c r="D24" s="85"/>
      <c r="E24" s="60"/>
      <c r="F24" s="61" t="s">
        <v>94</v>
      </c>
      <c r="G24" s="61"/>
      <c r="H24" s="61"/>
      <c r="I24" s="61"/>
      <c r="J24" s="61"/>
      <c r="K24" s="61"/>
      <c r="L24" s="61"/>
      <c r="M24" s="62"/>
      <c r="N24" s="63"/>
      <c r="O24" s="41"/>
      <c r="P24" s="102"/>
      <c r="Q24" s="103"/>
      <c r="R24" s="99"/>
      <c r="S24" s="100"/>
      <c r="T24" s="101"/>
      <c r="U24" s="64"/>
      <c r="V24" s="64"/>
      <c r="W24" s="64"/>
      <c r="X24" s="74"/>
      <c r="Y24" s="86"/>
      <c r="Z24" s="89"/>
      <c r="AA24" s="90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7"/>
      <c r="BI24" s="87"/>
      <c r="BJ24" s="87"/>
      <c r="BK24" s="87"/>
      <c r="BL24" s="87"/>
      <c r="BM24" s="87"/>
      <c r="BN24" s="87"/>
      <c r="BO24" s="87"/>
      <c r="BP24" s="87"/>
      <c r="BQ24" s="87"/>
      <c r="BR24" s="87"/>
      <c r="BS24" s="87"/>
      <c r="BT24" s="87"/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E24" s="87"/>
      <c r="CF24" s="87"/>
      <c r="CG24" s="87"/>
      <c r="CH24" s="87"/>
      <c r="CI24" s="87"/>
      <c r="CJ24" s="87"/>
      <c r="CK24" s="87"/>
      <c r="CL24" s="87"/>
      <c r="CM24" s="87"/>
      <c r="CN24" s="87"/>
      <c r="CO24" s="87"/>
      <c r="CP24" s="87"/>
      <c r="CQ24" s="87"/>
      <c r="CR24" s="87"/>
      <c r="CS24" s="87"/>
      <c r="CT24" s="87"/>
      <c r="CU24" s="87"/>
      <c r="CV24" s="87"/>
      <c r="CW24" s="87"/>
      <c r="CX24" s="87"/>
      <c r="CY24" s="87"/>
      <c r="CZ24" s="87"/>
      <c r="DA24" s="87"/>
      <c r="DB24" s="87"/>
      <c r="DC24" s="87"/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87"/>
      <c r="DS24" s="87"/>
      <c r="DT24" s="87"/>
      <c r="DU24" s="87"/>
      <c r="DV24" s="87"/>
      <c r="DW24" s="87"/>
      <c r="DX24" s="87"/>
      <c r="DY24" s="87"/>
      <c r="DZ24" s="87"/>
      <c r="EA24" s="87"/>
      <c r="EB24" s="87"/>
      <c r="EC24" s="87"/>
      <c r="ED24" s="87"/>
      <c r="EE24" s="87"/>
      <c r="EF24" s="87"/>
      <c r="EG24" s="87"/>
      <c r="EH24" s="87"/>
      <c r="EI24" s="87"/>
      <c r="EJ24" s="87"/>
      <c r="EK24" s="87"/>
      <c r="EL24" s="87"/>
      <c r="EM24" s="87"/>
      <c r="EN24" s="87"/>
      <c r="EO24" s="87"/>
      <c r="EP24" s="87"/>
      <c r="EQ24" s="87"/>
      <c r="ER24" s="87"/>
      <c r="ES24" s="87"/>
      <c r="ET24" s="87"/>
      <c r="EU24" s="87"/>
      <c r="EV24" s="87"/>
      <c r="EW24" s="87"/>
      <c r="EX24" s="87"/>
      <c r="EY24" s="87"/>
      <c r="EZ24" s="87"/>
      <c r="FA24" s="87"/>
      <c r="FB24" s="87"/>
      <c r="FC24" s="87"/>
      <c r="FD24" s="87"/>
      <c r="FE24" s="87"/>
      <c r="FF24" s="87"/>
      <c r="FG24" s="87"/>
      <c r="FH24" s="87"/>
      <c r="FI24" s="87"/>
      <c r="FJ24" s="87"/>
      <c r="FK24" s="87"/>
      <c r="FL24" s="87"/>
      <c r="FM24" s="87"/>
      <c r="FN24" s="87"/>
      <c r="FO24" s="87"/>
      <c r="FP24" s="87"/>
      <c r="FQ24" s="87"/>
      <c r="FR24" s="87"/>
      <c r="FS24" s="87"/>
      <c r="FT24" s="87"/>
      <c r="FU24" s="87"/>
      <c r="FV24" s="87"/>
      <c r="FW24" s="87"/>
      <c r="FX24" s="87"/>
      <c r="FY24" s="87"/>
      <c r="FZ24" s="87"/>
      <c r="GA24" s="87"/>
      <c r="GB24" s="87"/>
      <c r="GC24" s="87"/>
      <c r="GD24" s="87"/>
      <c r="GE24" s="87"/>
      <c r="GF24" s="87"/>
      <c r="GG24" s="87"/>
      <c r="GH24" s="87"/>
      <c r="GI24" s="87"/>
      <c r="GJ24" s="87"/>
      <c r="GK24" s="87"/>
      <c r="GL24" s="87"/>
      <c r="GM24" s="87"/>
      <c r="GN24" s="87"/>
      <c r="GO24" s="87"/>
      <c r="GP24" s="87"/>
      <c r="GQ24" s="87"/>
      <c r="GR24" s="87"/>
      <c r="GS24" s="87"/>
      <c r="GT24" s="87"/>
      <c r="GU24" s="87"/>
      <c r="GV24" s="87"/>
      <c r="GW24" s="87"/>
      <c r="GX24" s="87"/>
      <c r="GY24" s="87"/>
      <c r="GZ24" s="87"/>
      <c r="HA24" s="87"/>
      <c r="HB24" s="87"/>
      <c r="HC24" s="87"/>
      <c r="HD24" s="88"/>
      <c r="HE24" s="83"/>
      <c r="HF24" s="83"/>
      <c r="HG24" s="83"/>
      <c r="HH24" s="84"/>
      <c r="HI24" s="84"/>
      <c r="HJ24" s="84"/>
      <c r="HK24" s="84"/>
      <c r="HL24" s="84"/>
      <c r="HM24" s="84"/>
      <c r="HN24" s="84"/>
      <c r="HO24" s="84"/>
      <c r="HP24" s="84"/>
      <c r="HQ24" s="84"/>
    </row>
    <row r="25" spans="1:225" customFormat="1">
      <c r="A25" s="108">
        <f t="shared" si="129"/>
        <v>22</v>
      </c>
      <c r="B25" s="109">
        <v>22</v>
      </c>
      <c r="C25" s="109"/>
      <c r="D25" s="109"/>
      <c r="E25" s="110"/>
      <c r="F25" s="111"/>
      <c r="G25" s="111"/>
      <c r="H25" s="111"/>
      <c r="I25" s="111"/>
      <c r="J25" s="111"/>
      <c r="K25" s="111"/>
      <c r="L25" s="111"/>
      <c r="M25" s="112"/>
      <c r="N25" s="113"/>
      <c r="O25" s="41"/>
      <c r="P25" s="114"/>
      <c r="Q25" s="115"/>
      <c r="R25" s="99"/>
      <c r="S25" s="100"/>
      <c r="T25" s="101"/>
      <c r="U25" s="27"/>
      <c r="V25" s="27"/>
      <c r="W25" s="27"/>
      <c r="X25" s="26"/>
      <c r="Y25" s="116"/>
      <c r="Z25" s="46"/>
      <c r="AA25" s="73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7"/>
      <c r="BD25" s="117"/>
      <c r="BE25" s="117"/>
      <c r="BF25" s="117"/>
      <c r="BG25" s="117"/>
      <c r="BH25" s="117"/>
      <c r="BI25" s="117"/>
      <c r="BJ25" s="117"/>
      <c r="BK25" s="117"/>
      <c r="BL25" s="117"/>
      <c r="BM25" s="117"/>
      <c r="BN25" s="117"/>
      <c r="BO25" s="117"/>
      <c r="BP25" s="117"/>
      <c r="BQ25" s="117"/>
      <c r="BR25" s="117"/>
      <c r="BS25" s="117"/>
      <c r="BT25" s="117"/>
      <c r="BU25" s="117"/>
      <c r="BV25" s="117"/>
      <c r="BW25" s="117"/>
      <c r="BX25" s="117"/>
      <c r="BY25" s="117"/>
      <c r="BZ25" s="117"/>
      <c r="CA25" s="117"/>
      <c r="CB25" s="117"/>
      <c r="CC25" s="117"/>
      <c r="CD25" s="117"/>
      <c r="CE25" s="117"/>
      <c r="CF25" s="117"/>
      <c r="CG25" s="117"/>
      <c r="CH25" s="117"/>
      <c r="CI25" s="117"/>
      <c r="CJ25" s="117"/>
      <c r="CK25" s="117"/>
      <c r="CL25" s="117"/>
      <c r="CM25" s="117"/>
      <c r="CN25" s="117"/>
      <c r="CO25" s="117"/>
      <c r="CP25" s="117"/>
      <c r="CQ25" s="117"/>
      <c r="CR25" s="117"/>
      <c r="CS25" s="117"/>
      <c r="CT25" s="117"/>
      <c r="CU25" s="117"/>
      <c r="CV25" s="117"/>
      <c r="CW25" s="117"/>
      <c r="CX25" s="117"/>
      <c r="CY25" s="117"/>
      <c r="CZ25" s="117"/>
      <c r="DA25" s="117"/>
      <c r="DB25" s="117"/>
      <c r="DC25" s="117"/>
      <c r="DD25" s="117"/>
      <c r="DE25" s="117"/>
      <c r="DF25" s="117"/>
      <c r="DG25" s="117"/>
      <c r="DH25" s="117"/>
      <c r="DI25" s="117"/>
      <c r="DJ25" s="117"/>
      <c r="DK25" s="117"/>
      <c r="DL25" s="117"/>
      <c r="DM25" s="117"/>
      <c r="DN25" s="117"/>
      <c r="DO25" s="117"/>
      <c r="DP25" s="117"/>
      <c r="DQ25" s="117"/>
      <c r="DR25" s="117"/>
      <c r="DS25" s="117"/>
      <c r="DT25" s="117"/>
      <c r="DU25" s="117"/>
      <c r="DV25" s="117"/>
      <c r="DW25" s="117"/>
      <c r="DX25" s="117"/>
      <c r="DY25" s="117"/>
      <c r="DZ25" s="117"/>
      <c r="EA25" s="117"/>
      <c r="EB25" s="117"/>
      <c r="EC25" s="117"/>
      <c r="ED25" s="117"/>
      <c r="EE25" s="117"/>
      <c r="EF25" s="117"/>
      <c r="EG25" s="117"/>
      <c r="EH25" s="117"/>
      <c r="EI25" s="117"/>
      <c r="EJ25" s="117"/>
      <c r="EK25" s="117"/>
      <c r="EL25" s="117"/>
      <c r="EM25" s="117"/>
      <c r="EN25" s="117"/>
      <c r="EO25" s="117"/>
      <c r="EP25" s="117"/>
      <c r="EQ25" s="117"/>
      <c r="ER25" s="117"/>
      <c r="ES25" s="117"/>
      <c r="ET25" s="117"/>
      <c r="EU25" s="117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17"/>
      <c r="FH25" s="117"/>
      <c r="FI25" s="117"/>
      <c r="FJ25" s="117"/>
      <c r="FK25" s="117"/>
      <c r="FL25" s="117"/>
      <c r="FM25" s="117"/>
      <c r="FN25" s="117"/>
      <c r="FO25" s="117"/>
      <c r="FP25" s="117"/>
      <c r="FQ25" s="117"/>
      <c r="FR25" s="117"/>
      <c r="FS25" s="117"/>
      <c r="FT25" s="117"/>
      <c r="FU25" s="117"/>
      <c r="FV25" s="117"/>
      <c r="FW25" s="117"/>
      <c r="FX25" s="117"/>
      <c r="FY25" s="117"/>
      <c r="FZ25" s="117"/>
      <c r="GA25" s="117"/>
      <c r="GB25" s="117"/>
      <c r="GC25" s="117"/>
      <c r="GD25" s="117"/>
      <c r="GE25" s="117"/>
      <c r="GF25" s="117"/>
      <c r="GG25" s="117"/>
      <c r="GH25" s="117"/>
      <c r="GI25" s="117"/>
      <c r="GJ25" s="117"/>
      <c r="GK25" s="117"/>
      <c r="GL25" s="117"/>
      <c r="GM25" s="117"/>
      <c r="GN25" s="117"/>
      <c r="GO25" s="117"/>
      <c r="GP25" s="117"/>
      <c r="GQ25" s="117"/>
      <c r="GR25" s="117"/>
      <c r="GS25" s="117"/>
      <c r="GT25" s="117"/>
      <c r="GU25" s="117"/>
      <c r="GV25" s="117"/>
      <c r="GW25" s="117"/>
      <c r="GX25" s="117"/>
      <c r="GY25" s="117"/>
      <c r="GZ25" s="117"/>
      <c r="HA25" s="117"/>
      <c r="HB25" s="117"/>
      <c r="HC25" s="117"/>
      <c r="HD25" s="118"/>
      <c r="HH25" s="3"/>
      <c r="HI25" s="3"/>
      <c r="HJ25" s="3"/>
      <c r="HK25" s="3"/>
      <c r="HL25" s="3"/>
      <c r="HM25" s="3"/>
      <c r="HN25" s="3"/>
      <c r="HO25" s="3"/>
      <c r="HP25" s="3"/>
      <c r="HQ25" s="3"/>
    </row>
    <row r="26" spans="1:225" customFormat="1">
      <c r="A26" s="108">
        <f t="shared" si="129"/>
        <v>23</v>
      </c>
      <c r="B26" s="109">
        <v>23</v>
      </c>
      <c r="C26" s="109"/>
      <c r="D26" s="109"/>
      <c r="E26" s="110"/>
      <c r="F26" s="111"/>
      <c r="G26" s="111"/>
      <c r="H26" s="111"/>
      <c r="I26" s="111"/>
      <c r="J26" s="111"/>
      <c r="K26" s="111"/>
      <c r="L26" s="111"/>
      <c r="M26" s="112"/>
      <c r="N26" s="113"/>
      <c r="O26" s="41"/>
      <c r="P26" s="114"/>
      <c r="Q26" s="115"/>
      <c r="R26" s="99"/>
      <c r="S26" s="100"/>
      <c r="T26" s="101"/>
      <c r="U26" s="27"/>
      <c r="V26" s="27"/>
      <c r="W26" s="27"/>
      <c r="X26" s="26"/>
      <c r="Y26" s="116"/>
      <c r="Z26" s="46"/>
      <c r="AA26" s="73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7"/>
      <c r="CB26" s="117"/>
      <c r="CC26" s="117"/>
      <c r="CD26" s="117"/>
      <c r="CE26" s="117"/>
      <c r="CF26" s="117"/>
      <c r="CG26" s="117"/>
      <c r="CH26" s="117"/>
      <c r="CI26" s="117"/>
      <c r="CJ26" s="117"/>
      <c r="CK26" s="117"/>
      <c r="CL26" s="117"/>
      <c r="CM26" s="117"/>
      <c r="CN26" s="117"/>
      <c r="CO26" s="117"/>
      <c r="CP26" s="117"/>
      <c r="CQ26" s="117"/>
      <c r="CR26" s="117"/>
      <c r="CS26" s="117"/>
      <c r="CT26" s="117"/>
      <c r="CU26" s="117"/>
      <c r="CV26" s="117"/>
      <c r="CW26" s="117"/>
      <c r="CX26" s="117"/>
      <c r="CY26" s="117"/>
      <c r="CZ26" s="117"/>
      <c r="DA26" s="117"/>
      <c r="DB26" s="117"/>
      <c r="DC26" s="117"/>
      <c r="DD26" s="117"/>
      <c r="DE26" s="117"/>
      <c r="DF26" s="117"/>
      <c r="DG26" s="117"/>
      <c r="DH26" s="117"/>
      <c r="DI26" s="117"/>
      <c r="DJ26" s="117"/>
      <c r="DK26" s="117"/>
      <c r="DL26" s="117"/>
      <c r="DM26" s="117"/>
      <c r="DN26" s="117"/>
      <c r="DO26" s="117"/>
      <c r="DP26" s="117"/>
      <c r="DQ26" s="117"/>
      <c r="DR26" s="117"/>
      <c r="DS26" s="117"/>
      <c r="DT26" s="117"/>
      <c r="DU26" s="117"/>
      <c r="DV26" s="117"/>
      <c r="DW26" s="117"/>
      <c r="DX26" s="117"/>
      <c r="DY26" s="117"/>
      <c r="DZ26" s="117"/>
      <c r="EA26" s="117"/>
      <c r="EB26" s="117"/>
      <c r="EC26" s="117"/>
      <c r="ED26" s="117"/>
      <c r="EE26" s="117"/>
      <c r="EF26" s="117"/>
      <c r="EG26" s="117"/>
      <c r="EH26" s="117"/>
      <c r="EI26" s="117"/>
      <c r="EJ26" s="117"/>
      <c r="EK26" s="117"/>
      <c r="EL26" s="117"/>
      <c r="EM26" s="117"/>
      <c r="EN26" s="117"/>
      <c r="EO26" s="117"/>
      <c r="EP26" s="117"/>
      <c r="EQ26" s="117"/>
      <c r="ER26" s="117"/>
      <c r="ES26" s="117"/>
      <c r="ET26" s="117"/>
      <c r="EU26" s="117"/>
      <c r="EV26" s="117"/>
      <c r="EW26" s="117"/>
      <c r="EX26" s="117"/>
      <c r="EY26" s="117"/>
      <c r="EZ26" s="117"/>
      <c r="FA26" s="117"/>
      <c r="FB26" s="117"/>
      <c r="FC26" s="117"/>
      <c r="FD26" s="117"/>
      <c r="FE26" s="117"/>
      <c r="FF26" s="117"/>
      <c r="FG26" s="117"/>
      <c r="FH26" s="117"/>
      <c r="FI26" s="117"/>
      <c r="FJ26" s="117"/>
      <c r="FK26" s="117"/>
      <c r="FL26" s="117"/>
      <c r="FM26" s="117"/>
      <c r="FN26" s="117"/>
      <c r="FO26" s="117"/>
      <c r="FP26" s="117"/>
      <c r="FQ26" s="117"/>
      <c r="FR26" s="117"/>
      <c r="FS26" s="117"/>
      <c r="FT26" s="117"/>
      <c r="FU26" s="117"/>
      <c r="FV26" s="117"/>
      <c r="FW26" s="117"/>
      <c r="FX26" s="117"/>
      <c r="FY26" s="117"/>
      <c r="FZ26" s="117"/>
      <c r="GA26" s="117"/>
      <c r="GB26" s="117"/>
      <c r="GC26" s="117"/>
      <c r="GD26" s="117"/>
      <c r="GE26" s="117"/>
      <c r="GF26" s="117"/>
      <c r="GG26" s="117"/>
      <c r="GH26" s="117"/>
      <c r="GI26" s="117"/>
      <c r="GJ26" s="117"/>
      <c r="GK26" s="117"/>
      <c r="GL26" s="117"/>
      <c r="GM26" s="117"/>
      <c r="GN26" s="117"/>
      <c r="GO26" s="117"/>
      <c r="GP26" s="117"/>
      <c r="GQ26" s="117"/>
      <c r="GR26" s="117"/>
      <c r="GS26" s="117"/>
      <c r="GT26" s="117"/>
      <c r="GU26" s="117"/>
      <c r="GV26" s="117"/>
      <c r="GW26" s="117"/>
      <c r="GX26" s="117"/>
      <c r="GY26" s="117"/>
      <c r="GZ26" s="117"/>
      <c r="HA26" s="117"/>
      <c r="HB26" s="117"/>
      <c r="HC26" s="117"/>
      <c r="HD26" s="118"/>
      <c r="HH26" s="3"/>
      <c r="HI26" s="3"/>
      <c r="HJ26" s="3"/>
      <c r="HK26" s="3"/>
      <c r="HL26" s="3"/>
      <c r="HM26" s="3"/>
      <c r="HN26" s="3"/>
      <c r="HO26" s="3"/>
      <c r="HP26" s="3"/>
      <c r="HQ26" s="3"/>
    </row>
    <row r="27" spans="1:225" customFormat="1">
      <c r="A27" s="108"/>
      <c r="B27" s="109">
        <v>24</v>
      </c>
      <c r="C27" s="109"/>
      <c r="D27" s="109"/>
      <c r="E27" s="110"/>
      <c r="F27" s="111"/>
      <c r="G27" s="111"/>
      <c r="H27" s="111"/>
      <c r="I27" s="111"/>
      <c r="J27" s="111"/>
      <c r="K27" s="111"/>
      <c r="L27" s="111"/>
      <c r="M27" s="112"/>
      <c r="N27" s="113"/>
      <c r="O27" s="41"/>
      <c r="P27" s="114"/>
      <c r="Q27" s="115"/>
      <c r="R27" s="99"/>
      <c r="S27" s="100"/>
      <c r="T27" s="101"/>
      <c r="U27" s="27"/>
      <c r="V27" s="27"/>
      <c r="W27" s="27"/>
      <c r="X27" s="26"/>
      <c r="Y27" s="116"/>
      <c r="Z27" s="46"/>
      <c r="AA27" s="73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7"/>
      <c r="CB27" s="117"/>
      <c r="CC27" s="117"/>
      <c r="CD27" s="117"/>
      <c r="CE27" s="117"/>
      <c r="CF27" s="117"/>
      <c r="CG27" s="117"/>
      <c r="CH27" s="117"/>
      <c r="CI27" s="117"/>
      <c r="CJ27" s="117"/>
      <c r="CK27" s="117"/>
      <c r="CL27" s="117"/>
      <c r="CM27" s="117"/>
      <c r="CN27" s="117"/>
      <c r="CO27" s="117"/>
      <c r="CP27" s="117"/>
      <c r="CQ27" s="117"/>
      <c r="CR27" s="117"/>
      <c r="CS27" s="117"/>
      <c r="CT27" s="117"/>
      <c r="CU27" s="117"/>
      <c r="CV27" s="117"/>
      <c r="CW27" s="117"/>
      <c r="CX27" s="117"/>
      <c r="CY27" s="117"/>
      <c r="CZ27" s="117"/>
      <c r="DA27" s="117"/>
      <c r="DB27" s="117"/>
      <c r="DC27" s="117"/>
      <c r="DD27" s="117"/>
      <c r="DE27" s="117"/>
      <c r="DF27" s="117"/>
      <c r="DG27" s="117"/>
      <c r="DH27" s="117"/>
      <c r="DI27" s="117"/>
      <c r="DJ27" s="117"/>
      <c r="DK27" s="117"/>
      <c r="DL27" s="117"/>
      <c r="DM27" s="117"/>
      <c r="DN27" s="117"/>
      <c r="DO27" s="117"/>
      <c r="DP27" s="117"/>
      <c r="DQ27" s="117"/>
      <c r="DR27" s="117"/>
      <c r="DS27" s="117"/>
      <c r="DT27" s="117"/>
      <c r="DU27" s="117"/>
      <c r="DV27" s="117"/>
      <c r="DW27" s="117"/>
      <c r="DX27" s="117"/>
      <c r="DY27" s="117"/>
      <c r="DZ27" s="117"/>
      <c r="EA27" s="117"/>
      <c r="EB27" s="117"/>
      <c r="EC27" s="117"/>
      <c r="ED27" s="117"/>
      <c r="EE27" s="117"/>
      <c r="EF27" s="117"/>
      <c r="EG27" s="117"/>
      <c r="EH27" s="117"/>
      <c r="EI27" s="117"/>
      <c r="EJ27" s="117"/>
      <c r="EK27" s="117"/>
      <c r="EL27" s="117"/>
      <c r="EM27" s="117"/>
      <c r="EN27" s="117"/>
      <c r="EO27" s="117"/>
      <c r="EP27" s="117"/>
      <c r="EQ27" s="117"/>
      <c r="ER27" s="117"/>
      <c r="ES27" s="117"/>
      <c r="ET27" s="117"/>
      <c r="EU27" s="117"/>
      <c r="EV27" s="117"/>
      <c r="EW27" s="117"/>
      <c r="EX27" s="117"/>
      <c r="EY27" s="117"/>
      <c r="EZ27" s="117"/>
      <c r="FA27" s="117"/>
      <c r="FB27" s="117"/>
      <c r="FC27" s="117"/>
      <c r="FD27" s="117"/>
      <c r="FE27" s="117"/>
      <c r="FF27" s="117"/>
      <c r="FG27" s="117"/>
      <c r="FH27" s="117"/>
      <c r="FI27" s="117"/>
      <c r="FJ27" s="117"/>
      <c r="FK27" s="117"/>
      <c r="FL27" s="117"/>
      <c r="FM27" s="117"/>
      <c r="FN27" s="117"/>
      <c r="FO27" s="117"/>
      <c r="FP27" s="117"/>
      <c r="FQ27" s="117"/>
      <c r="FR27" s="117"/>
      <c r="FS27" s="117"/>
      <c r="FT27" s="117"/>
      <c r="FU27" s="117"/>
      <c r="FV27" s="117"/>
      <c r="FW27" s="117"/>
      <c r="FX27" s="117"/>
      <c r="FY27" s="117"/>
      <c r="FZ27" s="117"/>
      <c r="GA27" s="117"/>
      <c r="GB27" s="117"/>
      <c r="GC27" s="117"/>
      <c r="GD27" s="117"/>
      <c r="GE27" s="117"/>
      <c r="GF27" s="117"/>
      <c r="GG27" s="117"/>
      <c r="GH27" s="117"/>
      <c r="GI27" s="117"/>
      <c r="GJ27" s="117"/>
      <c r="GK27" s="117"/>
      <c r="GL27" s="117"/>
      <c r="GM27" s="117"/>
      <c r="GN27" s="117"/>
      <c r="GO27" s="117"/>
      <c r="GP27" s="117"/>
      <c r="GQ27" s="117"/>
      <c r="GR27" s="117"/>
      <c r="GS27" s="117"/>
      <c r="GT27" s="117"/>
      <c r="GU27" s="117"/>
      <c r="GV27" s="117"/>
      <c r="GW27" s="117"/>
      <c r="GX27" s="117"/>
      <c r="GY27" s="117"/>
      <c r="GZ27" s="117"/>
      <c r="HA27" s="117"/>
      <c r="HB27" s="117"/>
      <c r="HC27" s="117"/>
      <c r="HD27" s="118"/>
      <c r="HH27" s="3"/>
      <c r="HI27" s="3"/>
      <c r="HJ27" s="3"/>
      <c r="HK27" s="3"/>
      <c r="HL27" s="3"/>
      <c r="HM27" s="3"/>
      <c r="HN27" s="3"/>
      <c r="HO27" s="3"/>
      <c r="HP27" s="3"/>
      <c r="HQ27" s="3"/>
    </row>
    <row r="28" spans="1:225" customFormat="1">
      <c r="A28" s="108"/>
      <c r="B28" s="109">
        <v>25</v>
      </c>
      <c r="C28" s="109"/>
      <c r="D28" s="109"/>
      <c r="E28" s="110"/>
      <c r="F28" s="111"/>
      <c r="G28" s="111"/>
      <c r="H28" s="111"/>
      <c r="I28" s="111"/>
      <c r="J28" s="111"/>
      <c r="K28" s="111"/>
      <c r="L28" s="111"/>
      <c r="M28" s="112"/>
      <c r="N28" s="113"/>
      <c r="O28" s="41"/>
      <c r="P28" s="114"/>
      <c r="Q28" s="115"/>
      <c r="R28" s="99"/>
      <c r="S28" s="100"/>
      <c r="T28" s="101"/>
      <c r="U28" s="27"/>
      <c r="V28" s="27"/>
      <c r="W28" s="27"/>
      <c r="X28" s="26"/>
      <c r="Y28" s="116"/>
      <c r="Z28" s="46"/>
      <c r="AA28" s="73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7"/>
      <c r="CB28" s="117"/>
      <c r="CC28" s="117"/>
      <c r="CD28" s="117"/>
      <c r="CE28" s="117"/>
      <c r="CF28" s="117"/>
      <c r="CG28" s="117"/>
      <c r="CH28" s="117"/>
      <c r="CI28" s="117"/>
      <c r="CJ28" s="117"/>
      <c r="CK28" s="117"/>
      <c r="CL28" s="117"/>
      <c r="CM28" s="117"/>
      <c r="CN28" s="117"/>
      <c r="CO28" s="117"/>
      <c r="CP28" s="117"/>
      <c r="CQ28" s="117"/>
      <c r="CR28" s="117"/>
      <c r="CS28" s="117"/>
      <c r="CT28" s="117"/>
      <c r="CU28" s="117"/>
      <c r="CV28" s="117"/>
      <c r="CW28" s="117"/>
      <c r="CX28" s="117"/>
      <c r="CY28" s="117"/>
      <c r="CZ28" s="117"/>
      <c r="DA28" s="117"/>
      <c r="DB28" s="117"/>
      <c r="DC28" s="117"/>
      <c r="DD28" s="117"/>
      <c r="DE28" s="117"/>
      <c r="DF28" s="117"/>
      <c r="DG28" s="117"/>
      <c r="DH28" s="117"/>
      <c r="DI28" s="117"/>
      <c r="DJ28" s="117"/>
      <c r="DK28" s="117"/>
      <c r="DL28" s="117"/>
      <c r="DM28" s="117"/>
      <c r="DN28" s="117"/>
      <c r="DO28" s="117"/>
      <c r="DP28" s="117"/>
      <c r="DQ28" s="117"/>
      <c r="DR28" s="117"/>
      <c r="DS28" s="117"/>
      <c r="DT28" s="117"/>
      <c r="DU28" s="117"/>
      <c r="DV28" s="117"/>
      <c r="DW28" s="117"/>
      <c r="DX28" s="117"/>
      <c r="DY28" s="117"/>
      <c r="DZ28" s="117"/>
      <c r="EA28" s="117"/>
      <c r="EB28" s="117"/>
      <c r="EC28" s="117"/>
      <c r="ED28" s="117"/>
      <c r="EE28" s="117"/>
      <c r="EF28" s="117"/>
      <c r="EG28" s="117"/>
      <c r="EH28" s="117"/>
      <c r="EI28" s="117"/>
      <c r="EJ28" s="117"/>
      <c r="EK28" s="117"/>
      <c r="EL28" s="117"/>
      <c r="EM28" s="117"/>
      <c r="EN28" s="117"/>
      <c r="EO28" s="117"/>
      <c r="EP28" s="117"/>
      <c r="EQ28" s="117"/>
      <c r="ER28" s="117"/>
      <c r="ES28" s="117"/>
      <c r="ET28" s="117"/>
      <c r="EU28" s="117"/>
      <c r="EV28" s="117"/>
      <c r="EW28" s="117"/>
      <c r="EX28" s="117"/>
      <c r="EY28" s="117"/>
      <c r="EZ28" s="117"/>
      <c r="FA28" s="117"/>
      <c r="FB28" s="117"/>
      <c r="FC28" s="117"/>
      <c r="FD28" s="117"/>
      <c r="FE28" s="117"/>
      <c r="FF28" s="117"/>
      <c r="FG28" s="117"/>
      <c r="FH28" s="117"/>
      <c r="FI28" s="117"/>
      <c r="FJ28" s="117"/>
      <c r="FK28" s="117"/>
      <c r="FL28" s="117"/>
      <c r="FM28" s="117"/>
      <c r="FN28" s="117"/>
      <c r="FO28" s="117"/>
      <c r="FP28" s="117"/>
      <c r="FQ28" s="117"/>
      <c r="FR28" s="117"/>
      <c r="FS28" s="117"/>
      <c r="FT28" s="117"/>
      <c r="FU28" s="117"/>
      <c r="FV28" s="117"/>
      <c r="FW28" s="117"/>
      <c r="FX28" s="117"/>
      <c r="FY28" s="117"/>
      <c r="FZ28" s="117"/>
      <c r="GA28" s="117"/>
      <c r="GB28" s="117"/>
      <c r="GC28" s="117"/>
      <c r="GD28" s="117"/>
      <c r="GE28" s="117"/>
      <c r="GF28" s="117"/>
      <c r="GG28" s="117"/>
      <c r="GH28" s="117"/>
      <c r="GI28" s="117"/>
      <c r="GJ28" s="117"/>
      <c r="GK28" s="117"/>
      <c r="GL28" s="117"/>
      <c r="GM28" s="117"/>
      <c r="GN28" s="117"/>
      <c r="GO28" s="117"/>
      <c r="GP28" s="117"/>
      <c r="GQ28" s="117"/>
      <c r="GR28" s="117"/>
      <c r="GS28" s="117"/>
      <c r="GT28" s="117"/>
      <c r="GU28" s="117"/>
      <c r="GV28" s="117"/>
      <c r="GW28" s="117"/>
      <c r="GX28" s="117"/>
      <c r="GY28" s="117"/>
      <c r="GZ28" s="117"/>
      <c r="HA28" s="117"/>
      <c r="HB28" s="117"/>
      <c r="HC28" s="117"/>
      <c r="HD28" s="118"/>
      <c r="HH28" s="3"/>
      <c r="HI28" s="3"/>
      <c r="HJ28" s="3"/>
      <c r="HK28" s="3"/>
      <c r="HL28" s="3"/>
      <c r="HM28" s="3"/>
      <c r="HN28" s="3"/>
      <c r="HO28" s="3"/>
      <c r="HP28" s="3"/>
      <c r="HQ28" s="3"/>
    </row>
    <row r="29" spans="1:225" s="77" customFormat="1">
      <c r="A29" s="108"/>
      <c r="B29" s="85">
        <v>26</v>
      </c>
      <c r="C29" s="85"/>
      <c r="D29" s="85"/>
      <c r="E29" s="60"/>
      <c r="F29" s="61"/>
      <c r="G29" s="61"/>
      <c r="H29" s="61"/>
      <c r="I29" s="61"/>
      <c r="J29" s="61"/>
      <c r="K29" s="61"/>
      <c r="L29" s="61"/>
      <c r="M29" s="62"/>
      <c r="N29" s="63"/>
      <c r="O29" s="41"/>
      <c r="P29" s="102"/>
      <c r="Q29" s="103"/>
      <c r="R29" s="99"/>
      <c r="S29" s="100"/>
      <c r="T29" s="101"/>
      <c r="U29" s="64"/>
      <c r="V29" s="64"/>
      <c r="W29" s="64"/>
      <c r="X29" s="74"/>
      <c r="Y29" s="86"/>
      <c r="Z29" s="89"/>
      <c r="AA29" s="90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87"/>
      <c r="DS29" s="87"/>
      <c r="DT29" s="87"/>
      <c r="DU29" s="87"/>
      <c r="DV29" s="87"/>
      <c r="DW29" s="87"/>
      <c r="DX29" s="87"/>
      <c r="DY29" s="87"/>
      <c r="DZ29" s="87"/>
      <c r="EA29" s="87"/>
      <c r="EB29" s="87"/>
      <c r="EC29" s="87"/>
      <c r="ED29" s="87"/>
      <c r="EE29" s="87"/>
      <c r="EF29" s="87"/>
      <c r="EG29" s="87"/>
      <c r="EH29" s="87"/>
      <c r="EI29" s="87"/>
      <c r="EJ29" s="87"/>
      <c r="EK29" s="87"/>
      <c r="EL29" s="87"/>
      <c r="EM29" s="87"/>
      <c r="EN29" s="87"/>
      <c r="EO29" s="87"/>
      <c r="EP29" s="87"/>
      <c r="EQ29" s="87"/>
      <c r="ER29" s="87"/>
      <c r="ES29" s="87"/>
      <c r="ET29" s="87"/>
      <c r="EU29" s="87"/>
      <c r="EV29" s="87"/>
      <c r="EW29" s="87"/>
      <c r="EX29" s="87"/>
      <c r="EY29" s="87"/>
      <c r="EZ29" s="87"/>
      <c r="FA29" s="87"/>
      <c r="FB29" s="87"/>
      <c r="FC29" s="87"/>
      <c r="FD29" s="87"/>
      <c r="FE29" s="87"/>
      <c r="FF29" s="87"/>
      <c r="FG29" s="87"/>
      <c r="FH29" s="87"/>
      <c r="FI29" s="87"/>
      <c r="FJ29" s="87"/>
      <c r="FK29" s="87"/>
      <c r="FL29" s="87"/>
      <c r="FM29" s="87"/>
      <c r="FN29" s="87"/>
      <c r="FO29" s="87"/>
      <c r="FP29" s="87"/>
      <c r="FQ29" s="87"/>
      <c r="FR29" s="87"/>
      <c r="FS29" s="87"/>
      <c r="FT29" s="87"/>
      <c r="FU29" s="87"/>
      <c r="FV29" s="87"/>
      <c r="FW29" s="87"/>
      <c r="FX29" s="87"/>
      <c r="FY29" s="87"/>
      <c r="FZ29" s="87"/>
      <c r="GA29" s="87"/>
      <c r="GB29" s="87"/>
      <c r="GC29" s="87"/>
      <c r="GD29" s="87"/>
      <c r="GE29" s="87"/>
      <c r="GF29" s="87"/>
      <c r="GG29" s="87"/>
      <c r="GH29" s="87"/>
      <c r="GI29" s="87"/>
      <c r="GJ29" s="87"/>
      <c r="GK29" s="87"/>
      <c r="GL29" s="87"/>
      <c r="GM29" s="87"/>
      <c r="GN29" s="87"/>
      <c r="GO29" s="87"/>
      <c r="GP29" s="87"/>
      <c r="GQ29" s="87"/>
      <c r="GR29" s="87"/>
      <c r="GS29" s="87"/>
      <c r="GT29" s="87"/>
      <c r="GU29" s="87"/>
      <c r="GV29" s="87"/>
      <c r="GW29" s="87"/>
      <c r="GX29" s="87"/>
      <c r="GY29" s="87"/>
      <c r="GZ29" s="87"/>
      <c r="HA29" s="87"/>
      <c r="HB29" s="87"/>
      <c r="HC29" s="87"/>
      <c r="HD29" s="88"/>
      <c r="HE29" s="83"/>
      <c r="HF29" s="83"/>
      <c r="HG29" s="83"/>
      <c r="HH29" s="84"/>
      <c r="HI29" s="84"/>
      <c r="HJ29" s="84"/>
      <c r="HK29" s="84"/>
      <c r="HL29" s="84"/>
      <c r="HM29" s="84"/>
      <c r="HN29" s="84"/>
      <c r="HO29" s="84"/>
      <c r="HP29" s="84"/>
      <c r="HQ29" s="84"/>
    </row>
    <row r="30" spans="1:225" customFormat="1">
      <c r="A30" s="108"/>
      <c r="B30" s="109">
        <v>27</v>
      </c>
      <c r="C30" s="109"/>
      <c r="D30" s="109"/>
      <c r="E30" s="110"/>
      <c r="F30" s="111"/>
      <c r="G30" s="111"/>
      <c r="H30" s="111"/>
      <c r="I30" s="111"/>
      <c r="J30" s="111"/>
      <c r="K30" s="111"/>
      <c r="L30" s="111"/>
      <c r="M30" s="112"/>
      <c r="N30" s="113"/>
      <c r="O30" s="41"/>
      <c r="P30" s="114"/>
      <c r="Q30" s="115"/>
      <c r="R30" s="99"/>
      <c r="S30" s="100"/>
      <c r="T30" s="101"/>
      <c r="U30" s="27"/>
      <c r="V30" s="27"/>
      <c r="W30" s="27"/>
      <c r="X30" s="26"/>
      <c r="Y30" s="116"/>
      <c r="Z30" s="46"/>
      <c r="AA30" s="73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7"/>
      <c r="CT30" s="117"/>
      <c r="CU30" s="117"/>
      <c r="CV30" s="117"/>
      <c r="CW30" s="117"/>
      <c r="CX30" s="117"/>
      <c r="CY30" s="117"/>
      <c r="CZ30" s="117"/>
      <c r="DA30" s="117"/>
      <c r="DB30" s="117"/>
      <c r="DC30" s="117"/>
      <c r="DD30" s="117"/>
      <c r="DE30" s="117"/>
      <c r="DF30" s="117"/>
      <c r="DG30" s="117"/>
      <c r="DH30" s="117"/>
      <c r="DI30" s="117"/>
      <c r="DJ30" s="117"/>
      <c r="DK30" s="117"/>
      <c r="DL30" s="117"/>
      <c r="DM30" s="117"/>
      <c r="DN30" s="117"/>
      <c r="DO30" s="117"/>
      <c r="DP30" s="117"/>
      <c r="DQ30" s="117"/>
      <c r="DR30" s="117"/>
      <c r="DS30" s="117"/>
      <c r="DT30" s="117"/>
      <c r="DU30" s="117"/>
      <c r="DV30" s="117"/>
      <c r="DW30" s="117"/>
      <c r="DX30" s="117"/>
      <c r="DY30" s="117"/>
      <c r="DZ30" s="117"/>
      <c r="EA30" s="117"/>
      <c r="EB30" s="117"/>
      <c r="EC30" s="117"/>
      <c r="ED30" s="117"/>
      <c r="EE30" s="117"/>
      <c r="EF30" s="117"/>
      <c r="EG30" s="117"/>
      <c r="EH30" s="117"/>
      <c r="EI30" s="117"/>
      <c r="EJ30" s="117"/>
      <c r="EK30" s="117"/>
      <c r="EL30" s="117"/>
      <c r="EM30" s="117"/>
      <c r="EN30" s="117"/>
      <c r="EO30" s="117"/>
      <c r="EP30" s="117"/>
      <c r="EQ30" s="117"/>
      <c r="ER30" s="117"/>
      <c r="ES30" s="117"/>
      <c r="ET30" s="117"/>
      <c r="EU30" s="117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17"/>
      <c r="FH30" s="117"/>
      <c r="FI30" s="117"/>
      <c r="FJ30" s="117"/>
      <c r="FK30" s="117"/>
      <c r="FL30" s="117"/>
      <c r="FM30" s="117"/>
      <c r="FN30" s="117"/>
      <c r="FO30" s="117"/>
      <c r="FP30" s="117"/>
      <c r="FQ30" s="117"/>
      <c r="FR30" s="117"/>
      <c r="FS30" s="117"/>
      <c r="FT30" s="117"/>
      <c r="FU30" s="117"/>
      <c r="FV30" s="117"/>
      <c r="FW30" s="117"/>
      <c r="FX30" s="117"/>
      <c r="FY30" s="117"/>
      <c r="FZ30" s="117"/>
      <c r="GA30" s="117"/>
      <c r="GB30" s="117"/>
      <c r="GC30" s="117"/>
      <c r="GD30" s="117"/>
      <c r="GE30" s="117"/>
      <c r="GF30" s="117"/>
      <c r="GG30" s="117"/>
      <c r="GH30" s="117"/>
      <c r="GI30" s="117"/>
      <c r="GJ30" s="117"/>
      <c r="GK30" s="117"/>
      <c r="GL30" s="117"/>
      <c r="GM30" s="117"/>
      <c r="GN30" s="117"/>
      <c r="GO30" s="117"/>
      <c r="GP30" s="117"/>
      <c r="GQ30" s="117"/>
      <c r="GR30" s="117"/>
      <c r="GS30" s="117"/>
      <c r="GT30" s="117"/>
      <c r="GU30" s="117"/>
      <c r="GV30" s="117"/>
      <c r="GW30" s="117"/>
      <c r="GX30" s="117"/>
      <c r="GY30" s="117"/>
      <c r="GZ30" s="117"/>
      <c r="HA30" s="117"/>
      <c r="HB30" s="117"/>
      <c r="HC30" s="117"/>
      <c r="HD30" s="118"/>
      <c r="HH30" s="3"/>
      <c r="HI30" s="3"/>
      <c r="HJ30" s="3"/>
      <c r="HK30" s="3"/>
      <c r="HL30" s="3"/>
      <c r="HM30" s="3"/>
      <c r="HN30" s="3"/>
      <c r="HO30" s="3"/>
      <c r="HP30" s="3"/>
      <c r="HQ30" s="3"/>
    </row>
    <row r="31" spans="1:225" s="77" customFormat="1">
      <c r="A31" s="108"/>
      <c r="B31" s="85">
        <v>28</v>
      </c>
      <c r="C31" s="85"/>
      <c r="D31" s="85"/>
      <c r="E31" s="60"/>
      <c r="F31" s="61"/>
      <c r="G31" s="61"/>
      <c r="H31" s="61"/>
      <c r="I31" s="61"/>
      <c r="J31" s="61"/>
      <c r="K31" s="61"/>
      <c r="L31" s="61"/>
      <c r="M31" s="62"/>
      <c r="N31" s="63"/>
      <c r="O31" s="41"/>
      <c r="P31" s="102"/>
      <c r="Q31" s="103"/>
      <c r="R31" s="99"/>
      <c r="S31" s="100"/>
      <c r="T31" s="101"/>
      <c r="U31" s="64"/>
      <c r="V31" s="64"/>
      <c r="W31" s="64"/>
      <c r="X31" s="74"/>
      <c r="Y31" s="86"/>
      <c r="Z31" s="89"/>
      <c r="AA31" s="90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8"/>
      <c r="HE31" s="83"/>
      <c r="HF31" s="83"/>
      <c r="HG31" s="83"/>
      <c r="HH31" s="84"/>
      <c r="HI31" s="84"/>
      <c r="HJ31" s="84"/>
      <c r="HK31" s="84"/>
      <c r="HL31" s="84"/>
      <c r="HM31" s="84"/>
      <c r="HN31" s="84"/>
      <c r="HO31" s="84"/>
      <c r="HP31" s="84"/>
      <c r="HQ31" s="84"/>
    </row>
    <row r="32" spans="1:225" customFormat="1">
      <c r="A32" s="108"/>
      <c r="B32" s="109">
        <v>29</v>
      </c>
      <c r="C32" s="109"/>
      <c r="D32" s="109"/>
      <c r="E32" s="110"/>
      <c r="F32" s="111"/>
      <c r="G32" s="111"/>
      <c r="H32" s="111"/>
      <c r="I32" s="111"/>
      <c r="J32" s="111"/>
      <c r="K32" s="111"/>
      <c r="L32" s="111"/>
      <c r="M32" s="112"/>
      <c r="N32" s="113"/>
      <c r="O32" s="41"/>
      <c r="P32" s="114"/>
      <c r="Q32" s="115"/>
      <c r="R32" s="99"/>
      <c r="S32" s="100"/>
      <c r="T32" s="101"/>
      <c r="U32" s="27"/>
      <c r="V32" s="27"/>
      <c r="W32" s="27"/>
      <c r="X32" s="26"/>
      <c r="Y32" s="116"/>
      <c r="Z32" s="46"/>
      <c r="AA32" s="73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7"/>
      <c r="CC32" s="117"/>
      <c r="CD32" s="117"/>
      <c r="CE32" s="117"/>
      <c r="CF32" s="117"/>
      <c r="CG32" s="117"/>
      <c r="CH32" s="117"/>
      <c r="CI32" s="117"/>
      <c r="CJ32" s="117"/>
      <c r="CK32" s="117"/>
      <c r="CL32" s="117"/>
      <c r="CM32" s="117"/>
      <c r="CN32" s="117"/>
      <c r="CO32" s="117"/>
      <c r="CP32" s="117"/>
      <c r="CQ32" s="117"/>
      <c r="CR32" s="117"/>
      <c r="CS32" s="117"/>
      <c r="CT32" s="117"/>
      <c r="CU32" s="117"/>
      <c r="CV32" s="117"/>
      <c r="CW32" s="117"/>
      <c r="CX32" s="117"/>
      <c r="CY32" s="117"/>
      <c r="CZ32" s="117"/>
      <c r="DA32" s="117"/>
      <c r="DB32" s="117"/>
      <c r="DC32" s="117"/>
      <c r="DD32" s="117"/>
      <c r="DE32" s="117"/>
      <c r="DF32" s="117"/>
      <c r="DG32" s="117"/>
      <c r="DH32" s="117"/>
      <c r="DI32" s="117"/>
      <c r="DJ32" s="117"/>
      <c r="DK32" s="117"/>
      <c r="DL32" s="117"/>
      <c r="DM32" s="117"/>
      <c r="DN32" s="117"/>
      <c r="DO32" s="117"/>
      <c r="DP32" s="117"/>
      <c r="DQ32" s="117"/>
      <c r="DR32" s="117"/>
      <c r="DS32" s="117"/>
      <c r="DT32" s="117"/>
      <c r="DU32" s="117"/>
      <c r="DV32" s="117"/>
      <c r="DW32" s="117"/>
      <c r="DX32" s="117"/>
      <c r="DY32" s="117"/>
      <c r="DZ32" s="117"/>
      <c r="EA32" s="117"/>
      <c r="EB32" s="117"/>
      <c r="EC32" s="117"/>
      <c r="ED32" s="117"/>
      <c r="EE32" s="117"/>
      <c r="EF32" s="117"/>
      <c r="EG32" s="117"/>
      <c r="EH32" s="117"/>
      <c r="EI32" s="117"/>
      <c r="EJ32" s="117"/>
      <c r="EK32" s="117"/>
      <c r="EL32" s="117"/>
      <c r="EM32" s="117"/>
      <c r="EN32" s="117"/>
      <c r="EO32" s="117"/>
      <c r="EP32" s="117"/>
      <c r="EQ32" s="117"/>
      <c r="ER32" s="117"/>
      <c r="ES32" s="117"/>
      <c r="ET32" s="117"/>
      <c r="EU32" s="117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17"/>
      <c r="FH32" s="117"/>
      <c r="FI32" s="117"/>
      <c r="FJ32" s="117"/>
      <c r="FK32" s="117"/>
      <c r="FL32" s="117"/>
      <c r="FM32" s="117"/>
      <c r="FN32" s="117"/>
      <c r="FO32" s="117"/>
      <c r="FP32" s="117"/>
      <c r="FQ32" s="117"/>
      <c r="FR32" s="117"/>
      <c r="FS32" s="117"/>
      <c r="FT32" s="117"/>
      <c r="FU32" s="117"/>
      <c r="FV32" s="117"/>
      <c r="FW32" s="117"/>
      <c r="FX32" s="117"/>
      <c r="FY32" s="117"/>
      <c r="FZ32" s="117"/>
      <c r="GA32" s="117"/>
      <c r="GB32" s="117"/>
      <c r="GC32" s="117"/>
      <c r="GD32" s="117"/>
      <c r="GE32" s="117"/>
      <c r="GF32" s="117"/>
      <c r="GG32" s="117"/>
      <c r="GH32" s="117"/>
      <c r="GI32" s="117"/>
      <c r="GJ32" s="117"/>
      <c r="GK32" s="117"/>
      <c r="GL32" s="117"/>
      <c r="GM32" s="117"/>
      <c r="GN32" s="117"/>
      <c r="GO32" s="117"/>
      <c r="GP32" s="117"/>
      <c r="GQ32" s="117"/>
      <c r="GR32" s="117"/>
      <c r="GS32" s="117"/>
      <c r="GT32" s="117"/>
      <c r="GU32" s="117"/>
      <c r="GV32" s="117"/>
      <c r="GW32" s="117"/>
      <c r="GX32" s="117"/>
      <c r="GY32" s="117"/>
      <c r="GZ32" s="117"/>
      <c r="HA32" s="117"/>
      <c r="HB32" s="117"/>
      <c r="HC32" s="117"/>
      <c r="HD32" s="118"/>
      <c r="HH32" s="3"/>
      <c r="HI32" s="3"/>
      <c r="HJ32" s="3"/>
      <c r="HK32" s="3"/>
      <c r="HL32" s="3"/>
      <c r="HM32" s="3"/>
      <c r="HN32" s="3"/>
      <c r="HO32" s="3"/>
      <c r="HP32" s="3"/>
      <c r="HQ32" s="3"/>
    </row>
    <row r="33" spans="1:225" customFormat="1">
      <c r="A33" s="108"/>
      <c r="B33" s="109">
        <v>30</v>
      </c>
      <c r="C33" s="109"/>
      <c r="D33" s="109"/>
      <c r="E33" s="110"/>
      <c r="F33" s="111"/>
      <c r="G33" s="111"/>
      <c r="H33" s="111"/>
      <c r="I33" s="111"/>
      <c r="J33" s="111"/>
      <c r="K33" s="111"/>
      <c r="L33" s="111"/>
      <c r="M33" s="112"/>
      <c r="N33" s="113"/>
      <c r="O33" s="41"/>
      <c r="P33" s="114"/>
      <c r="Q33" s="115"/>
      <c r="R33" s="99"/>
      <c r="S33" s="100"/>
      <c r="T33" s="101"/>
      <c r="U33" s="27"/>
      <c r="V33" s="27"/>
      <c r="W33" s="27"/>
      <c r="X33" s="26"/>
      <c r="Y33" s="116"/>
      <c r="Z33" s="46"/>
      <c r="AA33" s="73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17"/>
      <c r="CG33" s="117"/>
      <c r="CH33" s="117"/>
      <c r="CI33" s="117"/>
      <c r="CJ33" s="117"/>
      <c r="CK33" s="117"/>
      <c r="CL33" s="117"/>
      <c r="CM33" s="117"/>
      <c r="CN33" s="117"/>
      <c r="CO33" s="117"/>
      <c r="CP33" s="117"/>
      <c r="CQ33" s="117"/>
      <c r="CR33" s="117"/>
      <c r="CS33" s="117"/>
      <c r="CT33" s="117"/>
      <c r="CU33" s="117"/>
      <c r="CV33" s="117"/>
      <c r="CW33" s="117"/>
      <c r="CX33" s="117"/>
      <c r="CY33" s="117"/>
      <c r="CZ33" s="117"/>
      <c r="DA33" s="117"/>
      <c r="DB33" s="117"/>
      <c r="DC33" s="117"/>
      <c r="DD33" s="117"/>
      <c r="DE33" s="117"/>
      <c r="DF33" s="117"/>
      <c r="DG33" s="117"/>
      <c r="DH33" s="117"/>
      <c r="DI33" s="117"/>
      <c r="DJ33" s="117"/>
      <c r="DK33" s="117"/>
      <c r="DL33" s="117"/>
      <c r="DM33" s="117"/>
      <c r="DN33" s="117"/>
      <c r="DO33" s="117"/>
      <c r="DP33" s="117"/>
      <c r="DQ33" s="117"/>
      <c r="DR33" s="117"/>
      <c r="DS33" s="117"/>
      <c r="DT33" s="117"/>
      <c r="DU33" s="117"/>
      <c r="DV33" s="117"/>
      <c r="DW33" s="117"/>
      <c r="DX33" s="117"/>
      <c r="DY33" s="117"/>
      <c r="DZ33" s="117"/>
      <c r="EA33" s="117"/>
      <c r="EB33" s="117"/>
      <c r="EC33" s="117"/>
      <c r="ED33" s="117"/>
      <c r="EE33" s="117"/>
      <c r="EF33" s="117"/>
      <c r="EG33" s="117"/>
      <c r="EH33" s="117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17"/>
      <c r="FH33" s="117"/>
      <c r="FI33" s="117"/>
      <c r="FJ33" s="117"/>
      <c r="FK33" s="117"/>
      <c r="FL33" s="117"/>
      <c r="FM33" s="117"/>
      <c r="FN33" s="117"/>
      <c r="FO33" s="117"/>
      <c r="FP33" s="117"/>
      <c r="FQ33" s="117"/>
      <c r="FR33" s="117"/>
      <c r="FS33" s="117"/>
      <c r="FT33" s="117"/>
      <c r="FU33" s="117"/>
      <c r="FV33" s="117"/>
      <c r="FW33" s="117"/>
      <c r="FX33" s="117"/>
      <c r="FY33" s="117"/>
      <c r="FZ33" s="117"/>
      <c r="GA33" s="117"/>
      <c r="GB33" s="117"/>
      <c r="GC33" s="117"/>
      <c r="GD33" s="117"/>
      <c r="GE33" s="117"/>
      <c r="GF33" s="117"/>
      <c r="GG33" s="117"/>
      <c r="GH33" s="117"/>
      <c r="GI33" s="117"/>
      <c r="GJ33" s="117"/>
      <c r="GK33" s="117"/>
      <c r="GL33" s="117"/>
      <c r="GM33" s="117"/>
      <c r="GN33" s="117"/>
      <c r="GO33" s="117"/>
      <c r="GP33" s="117"/>
      <c r="GQ33" s="117"/>
      <c r="GR33" s="117"/>
      <c r="GS33" s="117"/>
      <c r="GT33" s="117"/>
      <c r="GU33" s="117"/>
      <c r="GV33" s="117"/>
      <c r="GW33" s="117"/>
      <c r="GX33" s="117"/>
      <c r="GY33" s="117"/>
      <c r="GZ33" s="117"/>
      <c r="HA33" s="117"/>
      <c r="HB33" s="117"/>
      <c r="HC33" s="117"/>
      <c r="HD33" s="118"/>
      <c r="HH33" s="3"/>
      <c r="HI33" s="3"/>
      <c r="HJ33" s="3"/>
      <c r="HK33" s="3"/>
      <c r="HL33" s="3"/>
      <c r="HM33" s="3"/>
      <c r="HN33" s="3"/>
      <c r="HO33" s="3"/>
      <c r="HP33" s="3"/>
      <c r="HQ33" s="3"/>
    </row>
    <row r="34" spans="1:225" customFormat="1">
      <c r="A34" s="108"/>
      <c r="B34" s="109">
        <v>31</v>
      </c>
      <c r="C34" s="109"/>
      <c r="D34" s="109"/>
      <c r="E34" s="110"/>
      <c r="F34" s="111"/>
      <c r="G34" s="111"/>
      <c r="H34" s="111"/>
      <c r="I34" s="111"/>
      <c r="J34" s="111"/>
      <c r="K34" s="111"/>
      <c r="L34" s="111"/>
      <c r="M34" s="112"/>
      <c r="N34" s="113"/>
      <c r="O34" s="119"/>
      <c r="P34" s="114"/>
      <c r="Q34" s="115"/>
      <c r="R34" s="120"/>
      <c r="S34" s="121"/>
      <c r="T34" s="25"/>
      <c r="U34" s="27"/>
      <c r="V34" s="27"/>
      <c r="W34" s="27"/>
      <c r="X34" s="26"/>
      <c r="Y34" s="116"/>
      <c r="Z34" s="46"/>
      <c r="AA34" s="73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7"/>
      <c r="CL34" s="117"/>
      <c r="CM34" s="117"/>
      <c r="CN34" s="117"/>
      <c r="CO34" s="117"/>
      <c r="CP34" s="117"/>
      <c r="CQ34" s="117"/>
      <c r="CR34" s="117"/>
      <c r="CS34" s="117"/>
      <c r="CT34" s="117"/>
      <c r="CU34" s="117"/>
      <c r="CV34" s="117"/>
      <c r="CW34" s="117"/>
      <c r="CX34" s="117"/>
      <c r="CY34" s="117"/>
      <c r="CZ34" s="117"/>
      <c r="DA34" s="117"/>
      <c r="DB34" s="117"/>
      <c r="DC34" s="117"/>
      <c r="DD34" s="117"/>
      <c r="DE34" s="117"/>
      <c r="DF34" s="117"/>
      <c r="DG34" s="117"/>
      <c r="DH34" s="117"/>
      <c r="DI34" s="117"/>
      <c r="DJ34" s="117"/>
      <c r="DK34" s="117"/>
      <c r="DL34" s="117"/>
      <c r="DM34" s="117"/>
      <c r="DN34" s="117"/>
      <c r="DO34" s="117"/>
      <c r="DP34" s="117"/>
      <c r="DQ34" s="117"/>
      <c r="DR34" s="117"/>
      <c r="DS34" s="117"/>
      <c r="DT34" s="117"/>
      <c r="DU34" s="117"/>
      <c r="DV34" s="117"/>
      <c r="DW34" s="117"/>
      <c r="DX34" s="117"/>
      <c r="DY34" s="117"/>
      <c r="DZ34" s="117"/>
      <c r="EA34" s="117"/>
      <c r="EB34" s="117"/>
      <c r="EC34" s="117"/>
      <c r="ED34" s="117"/>
      <c r="EE34" s="117"/>
      <c r="EF34" s="117"/>
      <c r="EG34" s="117"/>
      <c r="EH34" s="117"/>
      <c r="EI34" s="117"/>
      <c r="EJ34" s="117"/>
      <c r="EK34" s="117"/>
      <c r="EL34" s="117"/>
      <c r="EM34" s="117"/>
      <c r="EN34" s="117"/>
      <c r="EO34" s="117"/>
      <c r="EP34" s="117"/>
      <c r="EQ34" s="117"/>
      <c r="ER34" s="117"/>
      <c r="ES34" s="117"/>
      <c r="ET34" s="117"/>
      <c r="EU34" s="117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17"/>
      <c r="FH34" s="117"/>
      <c r="FI34" s="117"/>
      <c r="FJ34" s="117"/>
      <c r="FK34" s="117"/>
      <c r="FL34" s="117"/>
      <c r="FM34" s="117"/>
      <c r="FN34" s="117"/>
      <c r="FO34" s="117"/>
      <c r="FP34" s="117"/>
      <c r="FQ34" s="117"/>
      <c r="FR34" s="117"/>
      <c r="FS34" s="117"/>
      <c r="FT34" s="117"/>
      <c r="FU34" s="117"/>
      <c r="FV34" s="117"/>
      <c r="FW34" s="117"/>
      <c r="FX34" s="117"/>
      <c r="FY34" s="117"/>
      <c r="FZ34" s="117"/>
      <c r="GA34" s="117"/>
      <c r="GB34" s="117"/>
      <c r="GC34" s="117"/>
      <c r="GD34" s="117"/>
      <c r="GE34" s="117"/>
      <c r="GF34" s="117"/>
      <c r="GG34" s="117"/>
      <c r="GH34" s="117"/>
      <c r="GI34" s="117"/>
      <c r="GJ34" s="117"/>
      <c r="GK34" s="117"/>
      <c r="GL34" s="117"/>
      <c r="GM34" s="117"/>
      <c r="GN34" s="117"/>
      <c r="GO34" s="117"/>
      <c r="GP34" s="117"/>
      <c r="GQ34" s="117"/>
      <c r="GR34" s="117"/>
      <c r="GS34" s="117"/>
      <c r="GT34" s="117"/>
      <c r="GU34" s="117"/>
      <c r="GV34" s="117"/>
      <c r="GW34" s="117"/>
      <c r="GX34" s="117"/>
      <c r="GY34" s="117"/>
      <c r="GZ34" s="117"/>
      <c r="HA34" s="117"/>
      <c r="HB34" s="117"/>
      <c r="HC34" s="117"/>
      <c r="HD34" s="118"/>
      <c r="HH34" s="3"/>
      <c r="HI34" s="3"/>
      <c r="HJ34" s="3"/>
      <c r="HK34" s="3"/>
      <c r="HL34" s="3"/>
      <c r="HM34" s="3"/>
      <c r="HN34" s="3"/>
      <c r="HO34" s="3"/>
      <c r="HP34" s="3"/>
      <c r="HQ34" s="3"/>
    </row>
    <row r="35" spans="1:225" customFormat="1" ht="19.5" thickBot="1">
      <c r="A35" s="122"/>
      <c r="B35" s="123"/>
      <c r="C35" s="123"/>
      <c r="D35" s="124"/>
      <c r="E35" s="28"/>
      <c r="F35" s="125"/>
      <c r="G35" s="125"/>
      <c r="H35" s="125"/>
      <c r="I35" s="125"/>
      <c r="J35" s="125"/>
      <c r="K35" s="125"/>
      <c r="L35" s="125"/>
      <c r="M35" s="126"/>
      <c r="N35" s="127"/>
      <c r="O35" s="128"/>
      <c r="P35" s="129"/>
      <c r="Q35" s="130"/>
      <c r="R35" s="131"/>
      <c r="S35" s="132"/>
      <c r="T35" s="29"/>
      <c r="U35" s="30"/>
      <c r="V35" s="30"/>
      <c r="W35" s="30"/>
      <c r="X35" s="29"/>
      <c r="Y35" s="133"/>
      <c r="Z35" s="48"/>
      <c r="AA35" s="75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134"/>
      <c r="CB35" s="134"/>
      <c r="CC35" s="134"/>
      <c r="CD35" s="134"/>
      <c r="CE35" s="134"/>
      <c r="CF35" s="134"/>
      <c r="CG35" s="134"/>
      <c r="CH35" s="134"/>
      <c r="CI35" s="134"/>
      <c r="CJ35" s="134"/>
      <c r="CK35" s="134"/>
      <c r="CL35" s="134"/>
      <c r="CM35" s="134"/>
      <c r="CN35" s="134"/>
      <c r="CO35" s="134"/>
      <c r="CP35" s="134"/>
      <c r="CQ35" s="134"/>
      <c r="CR35" s="134"/>
      <c r="CS35" s="134"/>
      <c r="CT35" s="134"/>
      <c r="CU35" s="134"/>
      <c r="CV35" s="134"/>
      <c r="CW35" s="134"/>
      <c r="CX35" s="134"/>
      <c r="CY35" s="134"/>
      <c r="CZ35" s="134"/>
      <c r="DA35" s="134"/>
      <c r="DB35" s="134"/>
      <c r="DC35" s="134"/>
      <c r="DD35" s="134"/>
      <c r="DE35" s="134"/>
      <c r="DF35" s="134"/>
      <c r="DG35" s="134"/>
      <c r="DH35" s="134"/>
      <c r="DI35" s="134"/>
      <c r="DJ35" s="134"/>
      <c r="DK35" s="134"/>
      <c r="DL35" s="134"/>
      <c r="DM35" s="134"/>
      <c r="DN35" s="134"/>
      <c r="DO35" s="134"/>
      <c r="DP35" s="134"/>
      <c r="DQ35" s="134"/>
      <c r="DR35" s="134"/>
      <c r="DS35" s="134"/>
      <c r="DT35" s="134"/>
      <c r="DU35" s="134"/>
      <c r="DV35" s="134"/>
      <c r="DW35" s="134"/>
      <c r="DX35" s="134"/>
      <c r="DY35" s="134"/>
      <c r="DZ35" s="134"/>
      <c r="EA35" s="134"/>
      <c r="EB35" s="134"/>
      <c r="EC35" s="134"/>
      <c r="ED35" s="134"/>
      <c r="EE35" s="134"/>
      <c r="EF35" s="134"/>
      <c r="EG35" s="134"/>
      <c r="EH35" s="134"/>
      <c r="EI35" s="134"/>
      <c r="EJ35" s="134"/>
      <c r="EK35" s="134"/>
      <c r="EL35" s="134"/>
      <c r="EM35" s="134"/>
      <c r="EN35" s="134"/>
      <c r="EO35" s="134"/>
      <c r="EP35" s="134"/>
      <c r="EQ35" s="134"/>
      <c r="ER35" s="134"/>
      <c r="ES35" s="134"/>
      <c r="ET35" s="134"/>
      <c r="EU35" s="134"/>
      <c r="EV35" s="134"/>
      <c r="EW35" s="134"/>
      <c r="EX35" s="134"/>
      <c r="EY35" s="134"/>
      <c r="EZ35" s="134"/>
      <c r="FA35" s="134"/>
      <c r="FB35" s="134"/>
      <c r="FC35" s="134"/>
      <c r="FD35" s="134"/>
      <c r="FE35" s="134"/>
      <c r="FF35" s="134"/>
      <c r="FG35" s="134"/>
      <c r="FH35" s="134"/>
      <c r="FI35" s="134"/>
      <c r="FJ35" s="134"/>
      <c r="FK35" s="134"/>
      <c r="FL35" s="134"/>
      <c r="FM35" s="134"/>
      <c r="FN35" s="134"/>
      <c r="FO35" s="134"/>
      <c r="FP35" s="134"/>
      <c r="FQ35" s="134"/>
      <c r="FR35" s="134"/>
      <c r="FS35" s="134"/>
      <c r="FT35" s="134"/>
      <c r="FU35" s="134"/>
      <c r="FV35" s="134"/>
      <c r="FW35" s="134"/>
      <c r="FX35" s="134"/>
      <c r="FY35" s="134"/>
      <c r="FZ35" s="134"/>
      <c r="GA35" s="134"/>
      <c r="GB35" s="134"/>
      <c r="GC35" s="134"/>
      <c r="GD35" s="134"/>
      <c r="GE35" s="134"/>
      <c r="GF35" s="134"/>
      <c r="GG35" s="134"/>
      <c r="GH35" s="134"/>
      <c r="GI35" s="134"/>
      <c r="GJ35" s="134"/>
      <c r="GK35" s="134"/>
      <c r="GL35" s="134"/>
      <c r="GM35" s="134"/>
      <c r="GN35" s="134"/>
      <c r="GO35" s="134"/>
      <c r="GP35" s="134"/>
      <c r="GQ35" s="134"/>
      <c r="GR35" s="134"/>
      <c r="GS35" s="134"/>
      <c r="GT35" s="134"/>
      <c r="GU35" s="134"/>
      <c r="GV35" s="134"/>
      <c r="GW35" s="134"/>
      <c r="GX35" s="134"/>
      <c r="GY35" s="134"/>
      <c r="GZ35" s="134"/>
      <c r="HA35" s="134"/>
      <c r="HB35" s="134"/>
      <c r="HC35" s="134"/>
      <c r="HD35" s="135"/>
      <c r="HH35" s="3"/>
      <c r="HI35" s="3"/>
      <c r="HJ35" s="3"/>
      <c r="HK35" s="3"/>
      <c r="HL35" s="3"/>
      <c r="HM35" s="3"/>
      <c r="HN35" s="3"/>
      <c r="HO35" s="3"/>
      <c r="HP35" s="3"/>
      <c r="HQ35" s="3"/>
    </row>
    <row r="36" spans="1:225">
      <c r="AA36" s="76"/>
    </row>
    <row r="37" spans="1:225">
      <c r="V37" s="3"/>
      <c r="W37" s="3"/>
      <c r="X37" s="74"/>
      <c r="AA37" s="76"/>
    </row>
    <row r="38" spans="1:225">
      <c r="AA38" s="76"/>
    </row>
    <row r="39" spans="1:225">
      <c r="AA39" s="76"/>
    </row>
    <row r="40" spans="1:225">
      <c r="AA40" s="76"/>
    </row>
    <row r="41" spans="1:225">
      <c r="AA41" s="76"/>
    </row>
    <row r="42" spans="1:225">
      <c r="AA42" s="76"/>
    </row>
    <row r="43" spans="1:225">
      <c r="AA43" s="76"/>
    </row>
    <row r="44" spans="1:225">
      <c r="AA44" s="76"/>
    </row>
    <row r="45" spans="1:225">
      <c r="AA45" s="76"/>
    </row>
    <row r="46" spans="1:225">
      <c r="AA46" s="76"/>
    </row>
    <row r="47" spans="1:225">
      <c r="AA47" s="76"/>
    </row>
    <row r="48" spans="1:225">
      <c r="AA48" s="76"/>
    </row>
    <row r="49" spans="27:27">
      <c r="AA49" s="76"/>
    </row>
    <row r="50" spans="27:27">
      <c r="AA50" s="76"/>
    </row>
    <row r="51" spans="27:27">
      <c r="AA51" s="76"/>
    </row>
    <row r="52" spans="27:27">
      <c r="AA52" s="76"/>
    </row>
    <row r="53" spans="27:27">
      <c r="AA53" s="76"/>
    </row>
    <row r="54" spans="27:27">
      <c r="AA54" s="76"/>
    </row>
    <row r="55" spans="27:27">
      <c r="AA55" s="76"/>
    </row>
    <row r="56" spans="27:27">
      <c r="AA56" s="76"/>
    </row>
    <row r="57" spans="27:27">
      <c r="AA57" s="76"/>
    </row>
    <row r="58" spans="27:27">
      <c r="AA58" s="76"/>
    </row>
    <row r="59" spans="27:27">
      <c r="AA59" s="76"/>
    </row>
    <row r="60" spans="27:27">
      <c r="AA60" s="76"/>
    </row>
    <row r="61" spans="27:27">
      <c r="AA61" s="76"/>
    </row>
    <row r="62" spans="27:27">
      <c r="AA62" s="76"/>
    </row>
    <row r="63" spans="27:27">
      <c r="AA63" s="76"/>
    </row>
    <row r="64" spans="27:27">
      <c r="AA64" s="76"/>
    </row>
    <row r="65" spans="27:27">
      <c r="AA65" s="76"/>
    </row>
    <row r="66" spans="27:27">
      <c r="AA66" s="76"/>
    </row>
    <row r="67" spans="27:27">
      <c r="AA67" s="76"/>
    </row>
    <row r="68" spans="27:27">
      <c r="AA68" s="76"/>
    </row>
    <row r="69" spans="27:27">
      <c r="AA69" s="76"/>
    </row>
    <row r="70" spans="27:27">
      <c r="AA70" s="76"/>
    </row>
    <row r="71" spans="27:27">
      <c r="AA71" s="76"/>
    </row>
    <row r="72" spans="27:27">
      <c r="AA72" s="76"/>
    </row>
    <row r="73" spans="27:27">
      <c r="AA73" s="76"/>
    </row>
    <row r="74" spans="27:27">
      <c r="AA74" s="76"/>
    </row>
    <row r="75" spans="27:27">
      <c r="AA75" s="76"/>
    </row>
    <row r="76" spans="27:27">
      <c r="AA76" s="76"/>
    </row>
    <row r="77" spans="27:27">
      <c r="AA77" s="76"/>
    </row>
    <row r="78" spans="27:27">
      <c r="AA78" s="76"/>
    </row>
    <row r="79" spans="27:27">
      <c r="AA79" s="76"/>
    </row>
    <row r="80" spans="27:27">
      <c r="AA80" s="76"/>
    </row>
    <row r="81" spans="27:27">
      <c r="AA81" s="76"/>
    </row>
    <row r="82" spans="27:27">
      <c r="AA82" s="76"/>
    </row>
    <row r="83" spans="27:27">
      <c r="AA83" s="76"/>
    </row>
    <row r="84" spans="27:27">
      <c r="AA84" s="76"/>
    </row>
    <row r="85" spans="27:27">
      <c r="AA85" s="76"/>
    </row>
    <row r="86" spans="27:27">
      <c r="AA86" s="76"/>
    </row>
    <row r="87" spans="27:27">
      <c r="AA87" s="76"/>
    </row>
    <row r="88" spans="27:27">
      <c r="AA88" s="76"/>
    </row>
    <row r="89" spans="27:27">
      <c r="AA89" s="76"/>
    </row>
    <row r="90" spans="27:27">
      <c r="AA90" s="76"/>
    </row>
    <row r="91" spans="27:27">
      <c r="AA91" s="76"/>
    </row>
    <row r="92" spans="27:27">
      <c r="AA92" s="76"/>
    </row>
    <row r="93" spans="27:27">
      <c r="AA93" s="76"/>
    </row>
    <row r="94" spans="27:27">
      <c r="AA94" s="76"/>
    </row>
    <row r="95" spans="27:27">
      <c r="AA95" s="76"/>
    </row>
    <row r="96" spans="27:27">
      <c r="AA96" s="76"/>
    </row>
    <row r="97" spans="27:27">
      <c r="AA97" s="76"/>
    </row>
    <row r="98" spans="27:27">
      <c r="AA98" s="76"/>
    </row>
    <row r="99" spans="27:27">
      <c r="AA99" s="76"/>
    </row>
    <row r="100" spans="27:27">
      <c r="AA100" s="76"/>
    </row>
    <row r="101" spans="27:27">
      <c r="AA101" s="76"/>
    </row>
    <row r="102" spans="27:27">
      <c r="AA102" s="76"/>
    </row>
    <row r="103" spans="27:27">
      <c r="AA103" s="76"/>
    </row>
    <row r="104" spans="27:27">
      <c r="AA104" s="76"/>
    </row>
    <row r="105" spans="27:27">
      <c r="AA105" s="76"/>
    </row>
    <row r="106" spans="27:27">
      <c r="AA106" s="76"/>
    </row>
    <row r="107" spans="27:27">
      <c r="AA107" s="76"/>
    </row>
    <row r="108" spans="27:27">
      <c r="AA108" s="76"/>
    </row>
    <row r="109" spans="27:27">
      <c r="AA109" s="76"/>
    </row>
    <row r="110" spans="27:27">
      <c r="AA110" s="76"/>
    </row>
    <row r="111" spans="27:27">
      <c r="AA111" s="76"/>
    </row>
    <row r="112" spans="27:27">
      <c r="AA112" s="76"/>
    </row>
    <row r="113" spans="27:27">
      <c r="AA113" s="76"/>
    </row>
    <row r="114" spans="27:27">
      <c r="AA114" s="76"/>
    </row>
    <row r="115" spans="27:27">
      <c r="AA115" s="76"/>
    </row>
    <row r="116" spans="27:27">
      <c r="AA116" s="76"/>
    </row>
    <row r="117" spans="27:27">
      <c r="AA117" s="76"/>
    </row>
    <row r="118" spans="27:27">
      <c r="AA118" s="76"/>
    </row>
    <row r="119" spans="27:27">
      <c r="AA119" s="76"/>
    </row>
    <row r="120" spans="27:27">
      <c r="AA120" s="76"/>
    </row>
    <row r="121" spans="27:27">
      <c r="AA121" s="76"/>
    </row>
    <row r="122" spans="27:27">
      <c r="AA122" s="76"/>
    </row>
    <row r="123" spans="27:27">
      <c r="AA123" s="76"/>
    </row>
    <row r="124" spans="27:27">
      <c r="AA124" s="76"/>
    </row>
    <row r="125" spans="27:27">
      <c r="AA125" s="76"/>
    </row>
    <row r="126" spans="27:27">
      <c r="AA126" s="76"/>
    </row>
    <row r="127" spans="27:27">
      <c r="AA127" s="76"/>
    </row>
    <row r="128" spans="27:27">
      <c r="AA128" s="76"/>
    </row>
    <row r="129" spans="27:27">
      <c r="AA129" s="76"/>
    </row>
    <row r="130" spans="27:27">
      <c r="AA130" s="76"/>
    </row>
    <row r="131" spans="27:27">
      <c r="AA131" s="76"/>
    </row>
    <row r="132" spans="27:27">
      <c r="AA132" s="76"/>
    </row>
    <row r="133" spans="27:27">
      <c r="AA133" s="76"/>
    </row>
    <row r="134" spans="27:27">
      <c r="AA134" s="76"/>
    </row>
    <row r="135" spans="27:27">
      <c r="AA135" s="76"/>
    </row>
    <row r="136" spans="27:27">
      <c r="AA136" s="76"/>
    </row>
    <row r="137" spans="27:27">
      <c r="AA137" s="76"/>
    </row>
    <row r="138" spans="27:27">
      <c r="AA138" s="76"/>
    </row>
    <row r="139" spans="27:27">
      <c r="AA139" s="76"/>
    </row>
    <row r="140" spans="27:27">
      <c r="AA140" s="76"/>
    </row>
    <row r="141" spans="27:27">
      <c r="AA141" s="76"/>
    </row>
    <row r="142" spans="27:27">
      <c r="AA142" s="76"/>
    </row>
    <row r="143" spans="27:27">
      <c r="AA143" s="76"/>
    </row>
    <row r="144" spans="27:27">
      <c r="AA144" s="76"/>
    </row>
    <row r="145" spans="27:27">
      <c r="AA145" s="76"/>
    </row>
    <row r="146" spans="27:27">
      <c r="AA146" s="76"/>
    </row>
    <row r="147" spans="27:27">
      <c r="AA147" s="76"/>
    </row>
    <row r="148" spans="27:27">
      <c r="AA148" s="76"/>
    </row>
    <row r="149" spans="27:27">
      <c r="AA149" s="76"/>
    </row>
    <row r="150" spans="27:27">
      <c r="AA150" s="76"/>
    </row>
    <row r="151" spans="27:27">
      <c r="AA151" s="76"/>
    </row>
    <row r="152" spans="27:27">
      <c r="AA152" s="76"/>
    </row>
    <row r="153" spans="27:27">
      <c r="AA153" s="76"/>
    </row>
    <row r="154" spans="27:27">
      <c r="AA154" s="76"/>
    </row>
    <row r="155" spans="27:27">
      <c r="AA155" s="76"/>
    </row>
    <row r="156" spans="27:27">
      <c r="AA156" s="76"/>
    </row>
    <row r="157" spans="27:27">
      <c r="AA157" s="76"/>
    </row>
    <row r="158" spans="27:27">
      <c r="AA158" s="76"/>
    </row>
    <row r="159" spans="27:27">
      <c r="AA159" s="76"/>
    </row>
    <row r="160" spans="27:27">
      <c r="AA160" s="76"/>
    </row>
    <row r="161" spans="27:27">
      <c r="AA161" s="76"/>
    </row>
    <row r="162" spans="27:27">
      <c r="AA162" s="76"/>
    </row>
    <row r="163" spans="27:27">
      <c r="AA163" s="76"/>
    </row>
    <row r="164" spans="27:27">
      <c r="AA164" s="76"/>
    </row>
    <row r="165" spans="27:27">
      <c r="AA165" s="76"/>
    </row>
    <row r="166" spans="27:27">
      <c r="AA166" s="76"/>
    </row>
    <row r="167" spans="27:27">
      <c r="AA167" s="76"/>
    </row>
    <row r="168" spans="27:27">
      <c r="AA168" s="76"/>
    </row>
    <row r="169" spans="27:27">
      <c r="AA169" s="76"/>
    </row>
    <row r="170" spans="27:27">
      <c r="AA170" s="76"/>
    </row>
    <row r="171" spans="27:27">
      <c r="AA171" s="76"/>
    </row>
    <row r="172" spans="27:27">
      <c r="AA172" s="76"/>
    </row>
    <row r="173" spans="27:27">
      <c r="AA173" s="76"/>
    </row>
    <row r="174" spans="27:27">
      <c r="AA174" s="76"/>
    </row>
    <row r="175" spans="27:27">
      <c r="AA175" s="76"/>
    </row>
    <row r="176" spans="27:27">
      <c r="AA176" s="76"/>
    </row>
    <row r="177" spans="27:27">
      <c r="AA177" s="76"/>
    </row>
    <row r="178" spans="27:27">
      <c r="AA178" s="76"/>
    </row>
    <row r="179" spans="27:27">
      <c r="AA179" s="76"/>
    </row>
    <row r="180" spans="27:27">
      <c r="AA180" s="76"/>
    </row>
    <row r="181" spans="27:27">
      <c r="AA181" s="76"/>
    </row>
    <row r="182" spans="27:27">
      <c r="AA182" s="76"/>
    </row>
    <row r="183" spans="27:27">
      <c r="AA183" s="76"/>
    </row>
    <row r="184" spans="27:27">
      <c r="AA184" s="76"/>
    </row>
    <row r="185" spans="27:27">
      <c r="AA185" s="76"/>
    </row>
    <row r="186" spans="27:27">
      <c r="AA186" s="76"/>
    </row>
    <row r="187" spans="27:27">
      <c r="AA187" s="76"/>
    </row>
    <row r="188" spans="27:27">
      <c r="AA188" s="76"/>
    </row>
    <row r="189" spans="27:27">
      <c r="AA189" s="76"/>
    </row>
    <row r="190" spans="27:27">
      <c r="AA190" s="76"/>
    </row>
    <row r="191" spans="27:27">
      <c r="AA191" s="76"/>
    </row>
    <row r="192" spans="27:27">
      <c r="AA192" s="76"/>
    </row>
    <row r="193" spans="27:27">
      <c r="AA193" s="76"/>
    </row>
    <row r="194" spans="27:27">
      <c r="AA194" s="76"/>
    </row>
    <row r="195" spans="27:27">
      <c r="AA195" s="76"/>
    </row>
    <row r="196" spans="27:27">
      <c r="AA196" s="76"/>
    </row>
    <row r="197" spans="27:27">
      <c r="AA197" s="76"/>
    </row>
    <row r="198" spans="27:27">
      <c r="AA198" s="76"/>
    </row>
    <row r="199" spans="27:27">
      <c r="AA199" s="76"/>
    </row>
    <row r="200" spans="27:27">
      <c r="AA200" s="76"/>
    </row>
    <row r="201" spans="27:27">
      <c r="AA201" s="76"/>
    </row>
    <row r="202" spans="27:27">
      <c r="AA202" s="76"/>
    </row>
    <row r="203" spans="27:27">
      <c r="AA203" s="76"/>
    </row>
    <row r="204" spans="27:27">
      <c r="AA204" s="76"/>
    </row>
    <row r="205" spans="27:27">
      <c r="AA205" s="76"/>
    </row>
    <row r="206" spans="27:27">
      <c r="AA206" s="76"/>
    </row>
    <row r="207" spans="27:27">
      <c r="AA207" s="76"/>
    </row>
    <row r="208" spans="27:27">
      <c r="AA208" s="76"/>
    </row>
    <row r="209" spans="27:27">
      <c r="AA209" s="76"/>
    </row>
    <row r="210" spans="27:27">
      <c r="AA210" s="76"/>
    </row>
    <row r="211" spans="27:27">
      <c r="AA211" s="76"/>
    </row>
    <row r="212" spans="27:27">
      <c r="AA212" s="76"/>
    </row>
    <row r="213" spans="27:27">
      <c r="AA213" s="76"/>
    </row>
    <row r="214" spans="27:27">
      <c r="AA214" s="76"/>
    </row>
    <row r="215" spans="27:27">
      <c r="AA215" s="76"/>
    </row>
    <row r="216" spans="27:27">
      <c r="AA216" s="76"/>
    </row>
    <row r="217" spans="27:27">
      <c r="AA217" s="76"/>
    </row>
    <row r="218" spans="27:27">
      <c r="AA218" s="76"/>
    </row>
    <row r="219" spans="27:27">
      <c r="AA219" s="76"/>
    </row>
    <row r="220" spans="27:27">
      <c r="AA220" s="76"/>
    </row>
    <row r="221" spans="27:27">
      <c r="AA221" s="76"/>
    </row>
    <row r="222" spans="27:27">
      <c r="AA222" s="76"/>
    </row>
    <row r="223" spans="27:27">
      <c r="AA223" s="76"/>
    </row>
    <row r="224" spans="27:27">
      <c r="AA224" s="76"/>
    </row>
    <row r="225" spans="27:27">
      <c r="AA225" s="76"/>
    </row>
    <row r="226" spans="27:27">
      <c r="AA226" s="76"/>
    </row>
    <row r="227" spans="27:27">
      <c r="AA227" s="76"/>
    </row>
    <row r="228" spans="27:27">
      <c r="AA228" s="76"/>
    </row>
    <row r="229" spans="27:27">
      <c r="AA229" s="76"/>
    </row>
    <row r="230" spans="27:27">
      <c r="AA230" s="76"/>
    </row>
    <row r="231" spans="27:27">
      <c r="AA231" s="76"/>
    </row>
    <row r="232" spans="27:27">
      <c r="AA232" s="76"/>
    </row>
    <row r="233" spans="27:27">
      <c r="AA233" s="76"/>
    </row>
    <row r="234" spans="27:27">
      <c r="AA234" s="76"/>
    </row>
    <row r="235" spans="27:27">
      <c r="AA235" s="76"/>
    </row>
    <row r="236" spans="27:27">
      <c r="AA236" s="76"/>
    </row>
    <row r="237" spans="27:27">
      <c r="AA237" s="76"/>
    </row>
    <row r="238" spans="27:27">
      <c r="AA238" s="76"/>
    </row>
    <row r="239" spans="27:27">
      <c r="AA239" s="76"/>
    </row>
    <row r="240" spans="27:27">
      <c r="AA240" s="76"/>
    </row>
    <row r="241" spans="27:27">
      <c r="AA241" s="76"/>
    </row>
    <row r="242" spans="27:27">
      <c r="AA242" s="76"/>
    </row>
    <row r="243" spans="27:27">
      <c r="AA243" s="76"/>
    </row>
    <row r="244" spans="27:27">
      <c r="AA244" s="76"/>
    </row>
    <row r="245" spans="27:27">
      <c r="AA245" s="76"/>
    </row>
    <row r="246" spans="27:27">
      <c r="AA246" s="76"/>
    </row>
    <row r="247" spans="27:27">
      <c r="AA247" s="76"/>
    </row>
    <row r="248" spans="27:27">
      <c r="AA248" s="76"/>
    </row>
    <row r="249" spans="27:27">
      <c r="AA249" s="76"/>
    </row>
    <row r="250" spans="27:27">
      <c r="AA250" s="76"/>
    </row>
    <row r="251" spans="27:27">
      <c r="AA251" s="76"/>
    </row>
    <row r="252" spans="27:27">
      <c r="AA252" s="76"/>
    </row>
    <row r="253" spans="27:27">
      <c r="AA253" s="76"/>
    </row>
    <row r="254" spans="27:27">
      <c r="AA254" s="76"/>
    </row>
    <row r="255" spans="27:27">
      <c r="AA255" s="76"/>
    </row>
    <row r="256" spans="27:27">
      <c r="AA256" s="76"/>
    </row>
    <row r="257" spans="27:27">
      <c r="AA257" s="76"/>
    </row>
    <row r="258" spans="27:27">
      <c r="AA258" s="76"/>
    </row>
    <row r="259" spans="27:27">
      <c r="AA259" s="76"/>
    </row>
    <row r="260" spans="27:27">
      <c r="AA260" s="76"/>
    </row>
    <row r="261" spans="27:27">
      <c r="AA261" s="76"/>
    </row>
    <row r="262" spans="27:27">
      <c r="AA262" s="76"/>
    </row>
    <row r="263" spans="27:27">
      <c r="AA263" s="76"/>
    </row>
    <row r="264" spans="27:27">
      <c r="AA264" s="76"/>
    </row>
    <row r="265" spans="27:27">
      <c r="AA265" s="76"/>
    </row>
    <row r="266" spans="27:27">
      <c r="AA266" s="76"/>
    </row>
    <row r="267" spans="27:27">
      <c r="AA267" s="76"/>
    </row>
    <row r="268" spans="27:27">
      <c r="AA268" s="76"/>
    </row>
    <row r="269" spans="27:27">
      <c r="AA269" s="76"/>
    </row>
    <row r="270" spans="27:27">
      <c r="AA270" s="76"/>
    </row>
    <row r="271" spans="27:27">
      <c r="AA271" s="76"/>
    </row>
    <row r="272" spans="27:27">
      <c r="AA272" s="76"/>
    </row>
    <row r="273" spans="27:27">
      <c r="AA273" s="76"/>
    </row>
    <row r="274" spans="27:27">
      <c r="AA274" s="76"/>
    </row>
    <row r="275" spans="27:27">
      <c r="AA275" s="76"/>
    </row>
    <row r="276" spans="27:27">
      <c r="AA276" s="76"/>
    </row>
    <row r="277" spans="27:27">
      <c r="AA277" s="76"/>
    </row>
    <row r="278" spans="27:27">
      <c r="AA278" s="76"/>
    </row>
    <row r="279" spans="27:27">
      <c r="AA279" s="76"/>
    </row>
    <row r="280" spans="27:27">
      <c r="AA280" s="76"/>
    </row>
    <row r="281" spans="27:27">
      <c r="AA281" s="76"/>
    </row>
    <row r="282" spans="27:27">
      <c r="AA282" s="76"/>
    </row>
    <row r="283" spans="27:27">
      <c r="AA283" s="76"/>
    </row>
    <row r="284" spans="27:27">
      <c r="AA284" s="76"/>
    </row>
    <row r="285" spans="27:27">
      <c r="AA285" s="76"/>
    </row>
    <row r="286" spans="27:27">
      <c r="AA286" s="76"/>
    </row>
    <row r="287" spans="27:27">
      <c r="AA287" s="76"/>
    </row>
    <row r="288" spans="27:27">
      <c r="AA288" s="76"/>
    </row>
    <row r="289" spans="27:27">
      <c r="AA289" s="76"/>
    </row>
    <row r="290" spans="27:27">
      <c r="AA290" s="76"/>
    </row>
    <row r="291" spans="27:27">
      <c r="AA291" s="76"/>
    </row>
    <row r="292" spans="27:27">
      <c r="AA292" s="76"/>
    </row>
    <row r="293" spans="27:27">
      <c r="AA293" s="76"/>
    </row>
    <row r="294" spans="27:27">
      <c r="AA294" s="76"/>
    </row>
    <row r="295" spans="27:27">
      <c r="AA295" s="76"/>
    </row>
    <row r="296" spans="27:27">
      <c r="AA296" s="76"/>
    </row>
    <row r="297" spans="27:27">
      <c r="AA297" s="76"/>
    </row>
    <row r="298" spans="27:27">
      <c r="AA298" s="76"/>
    </row>
    <row r="299" spans="27:27">
      <c r="AA299" s="76"/>
    </row>
    <row r="300" spans="27:27">
      <c r="AA300" s="76"/>
    </row>
    <row r="301" spans="27:27">
      <c r="AA301" s="76"/>
    </row>
    <row r="302" spans="27:27">
      <c r="AA302" s="76"/>
    </row>
    <row r="303" spans="27:27">
      <c r="AA303" s="76"/>
    </row>
    <row r="304" spans="27:27">
      <c r="AA304" s="76"/>
    </row>
    <row r="305" spans="27:27">
      <c r="AA305" s="76"/>
    </row>
    <row r="306" spans="27:27">
      <c r="AA306" s="76"/>
    </row>
    <row r="307" spans="27:27">
      <c r="AA307" s="76"/>
    </row>
    <row r="308" spans="27:27">
      <c r="AA308" s="76"/>
    </row>
    <row r="309" spans="27:27">
      <c r="AA309" s="76"/>
    </row>
    <row r="310" spans="27:27">
      <c r="AA310" s="76"/>
    </row>
    <row r="311" spans="27:27">
      <c r="AA311" s="76"/>
    </row>
    <row r="312" spans="27:27">
      <c r="AA312" s="76"/>
    </row>
    <row r="313" spans="27:27">
      <c r="AA313" s="76"/>
    </row>
    <row r="314" spans="27:27">
      <c r="AA314" s="76"/>
    </row>
    <row r="315" spans="27:27">
      <c r="AA315" s="76"/>
    </row>
    <row r="316" spans="27:27">
      <c r="AA316" s="76"/>
    </row>
    <row r="317" spans="27:27">
      <c r="AA317" s="76"/>
    </row>
    <row r="318" spans="27:27">
      <c r="AA318" s="76"/>
    </row>
    <row r="319" spans="27:27">
      <c r="AA319" s="76"/>
    </row>
    <row r="320" spans="27:27">
      <c r="AA320" s="76"/>
    </row>
    <row r="321" spans="27:27">
      <c r="AA321" s="76"/>
    </row>
    <row r="322" spans="27:27">
      <c r="AA322" s="76"/>
    </row>
    <row r="323" spans="27:27">
      <c r="AA323" s="76"/>
    </row>
    <row r="324" spans="27:27">
      <c r="AA324" s="76"/>
    </row>
    <row r="325" spans="27:27">
      <c r="AA325" s="76"/>
    </row>
    <row r="326" spans="27:27">
      <c r="AA326" s="76"/>
    </row>
    <row r="327" spans="27:27">
      <c r="AA327" s="76"/>
    </row>
    <row r="328" spans="27:27">
      <c r="AA328" s="76"/>
    </row>
    <row r="329" spans="27:27">
      <c r="AA329" s="76"/>
    </row>
    <row r="330" spans="27:27">
      <c r="AA330" s="76"/>
    </row>
    <row r="331" spans="27:27">
      <c r="AA331" s="76"/>
    </row>
    <row r="332" spans="27:27">
      <c r="AA332" s="76"/>
    </row>
    <row r="333" spans="27:27">
      <c r="AA333" s="76"/>
    </row>
    <row r="334" spans="27:27">
      <c r="AA334" s="76"/>
    </row>
    <row r="335" spans="27:27">
      <c r="AA335" s="76"/>
    </row>
    <row r="336" spans="27:27">
      <c r="AA336" s="76"/>
    </row>
    <row r="337" spans="27:27">
      <c r="AA337" s="76"/>
    </row>
    <row r="338" spans="27:27">
      <c r="AA338" s="76"/>
    </row>
    <row r="339" spans="27:27">
      <c r="AA339" s="76"/>
    </row>
    <row r="340" spans="27:27">
      <c r="AA340" s="76"/>
    </row>
    <row r="341" spans="27:27">
      <c r="AA341" s="76"/>
    </row>
    <row r="342" spans="27:27">
      <c r="AA342" s="76"/>
    </row>
    <row r="343" spans="27:27">
      <c r="AA343" s="76"/>
    </row>
    <row r="344" spans="27:27">
      <c r="AA344" s="76"/>
    </row>
    <row r="345" spans="27:27">
      <c r="AA345" s="76"/>
    </row>
    <row r="346" spans="27:27">
      <c r="AA346" s="76"/>
    </row>
    <row r="347" spans="27:27">
      <c r="AA347" s="76"/>
    </row>
    <row r="348" spans="27:27">
      <c r="AA348" s="76"/>
    </row>
    <row r="349" spans="27:27">
      <c r="AA349" s="76"/>
    </row>
    <row r="350" spans="27:27">
      <c r="AA350" s="76"/>
    </row>
    <row r="351" spans="27:27">
      <c r="AA351" s="76"/>
    </row>
    <row r="352" spans="27:27">
      <c r="AA352" s="76"/>
    </row>
    <row r="353" spans="27:27">
      <c r="AA353" s="76"/>
    </row>
    <row r="354" spans="27:27">
      <c r="AA354" s="76"/>
    </row>
    <row r="355" spans="27:27">
      <c r="AA355" s="76"/>
    </row>
    <row r="356" spans="27:27">
      <c r="AA356" s="76"/>
    </row>
    <row r="357" spans="27:27">
      <c r="AA357" s="76"/>
    </row>
    <row r="358" spans="27:27">
      <c r="AA358" s="76"/>
    </row>
    <row r="359" spans="27:27">
      <c r="AA359" s="76"/>
    </row>
    <row r="360" spans="27:27">
      <c r="AA360" s="76"/>
    </row>
    <row r="361" spans="27:27">
      <c r="AA361" s="76"/>
    </row>
    <row r="362" spans="27:27">
      <c r="AA362" s="76"/>
    </row>
    <row r="363" spans="27:27">
      <c r="AA363" s="76"/>
    </row>
    <row r="364" spans="27:27">
      <c r="AA364" s="76"/>
    </row>
    <row r="365" spans="27:27">
      <c r="AA365" s="76"/>
    </row>
    <row r="366" spans="27:27">
      <c r="AA366" s="76"/>
    </row>
    <row r="367" spans="27:27">
      <c r="AA367" s="76"/>
    </row>
    <row r="368" spans="27:27">
      <c r="AA368" s="76"/>
    </row>
    <row r="369" spans="27:27">
      <c r="AA369" s="76"/>
    </row>
    <row r="370" spans="27:27">
      <c r="AA370" s="76"/>
    </row>
    <row r="371" spans="27:27">
      <c r="AA371" s="76"/>
    </row>
    <row r="372" spans="27:27">
      <c r="AA372" s="76"/>
    </row>
    <row r="373" spans="27:27">
      <c r="AA373" s="76"/>
    </row>
    <row r="374" spans="27:27">
      <c r="AA374" s="76"/>
    </row>
    <row r="375" spans="27:27">
      <c r="AA375" s="76"/>
    </row>
    <row r="376" spans="27:27">
      <c r="AA376" s="76"/>
    </row>
    <row r="377" spans="27:27">
      <c r="AA377" s="76"/>
    </row>
    <row r="378" spans="27:27">
      <c r="AA378" s="76"/>
    </row>
    <row r="379" spans="27:27">
      <c r="AA379" s="76"/>
    </row>
    <row r="380" spans="27:27">
      <c r="AA380" s="76"/>
    </row>
    <row r="381" spans="27:27">
      <c r="AA381" s="76"/>
    </row>
    <row r="382" spans="27:27">
      <c r="AA382" s="76"/>
    </row>
    <row r="383" spans="27:27">
      <c r="AA383" s="76"/>
    </row>
    <row r="384" spans="27:27">
      <c r="AA384" s="76"/>
    </row>
    <row r="385" spans="27:27">
      <c r="AA385" s="76"/>
    </row>
    <row r="386" spans="27:27">
      <c r="AA386" s="76"/>
    </row>
    <row r="387" spans="27:27">
      <c r="AA387" s="76"/>
    </row>
    <row r="388" spans="27:27">
      <c r="AA388" s="76"/>
    </row>
    <row r="389" spans="27:27">
      <c r="AA389" s="76"/>
    </row>
    <row r="390" spans="27:27">
      <c r="AA390" s="76"/>
    </row>
    <row r="391" spans="27:27">
      <c r="AA391" s="76"/>
    </row>
    <row r="392" spans="27:27">
      <c r="AA392" s="76"/>
    </row>
    <row r="393" spans="27:27">
      <c r="AA393" s="76"/>
    </row>
    <row r="394" spans="27:27">
      <c r="AA394" s="76"/>
    </row>
    <row r="395" spans="27:27">
      <c r="AA395" s="76"/>
    </row>
    <row r="396" spans="27:27">
      <c r="AA396" s="76"/>
    </row>
    <row r="397" spans="27:27">
      <c r="AA397" s="76"/>
    </row>
    <row r="398" spans="27:27">
      <c r="AA398" s="76"/>
    </row>
    <row r="399" spans="27:27">
      <c r="AA399" s="76"/>
    </row>
    <row r="400" spans="27:27">
      <c r="AA400" s="76"/>
    </row>
    <row r="401" spans="27:27">
      <c r="AA401" s="76"/>
    </row>
    <row r="402" spans="27:27">
      <c r="AA402" s="76"/>
    </row>
    <row r="403" spans="27:27">
      <c r="AA403" s="76"/>
    </row>
    <row r="404" spans="27:27">
      <c r="AA404" s="76"/>
    </row>
    <row r="405" spans="27:27">
      <c r="AA405" s="76"/>
    </row>
    <row r="406" spans="27:27">
      <c r="AA406" s="76"/>
    </row>
    <row r="407" spans="27:27">
      <c r="AA407" s="76"/>
    </row>
    <row r="408" spans="27:27">
      <c r="AA408" s="76"/>
    </row>
    <row r="409" spans="27:27">
      <c r="AA409" s="76"/>
    </row>
    <row r="410" spans="27:27">
      <c r="AA410" s="76"/>
    </row>
    <row r="411" spans="27:27">
      <c r="AA411" s="76"/>
    </row>
    <row r="412" spans="27:27">
      <c r="AA412" s="76"/>
    </row>
    <row r="413" spans="27:27">
      <c r="AA413" s="76"/>
    </row>
    <row r="414" spans="27:27">
      <c r="AA414" s="76"/>
    </row>
    <row r="415" spans="27:27">
      <c r="AA415" s="76"/>
    </row>
    <row r="416" spans="27:27">
      <c r="AA416" s="76"/>
    </row>
    <row r="417" spans="27:27">
      <c r="AA417" s="76"/>
    </row>
    <row r="418" spans="27:27">
      <c r="AA418" s="76"/>
    </row>
    <row r="419" spans="27:27">
      <c r="AA419" s="76"/>
    </row>
    <row r="420" spans="27:27">
      <c r="AA420" s="76"/>
    </row>
    <row r="421" spans="27:27">
      <c r="AA421" s="76"/>
    </row>
    <row r="422" spans="27:27">
      <c r="AA422" s="76"/>
    </row>
    <row r="423" spans="27:27">
      <c r="AA423" s="76"/>
    </row>
    <row r="424" spans="27:27">
      <c r="AA424" s="76"/>
    </row>
    <row r="425" spans="27:27">
      <c r="AA425" s="76"/>
    </row>
    <row r="426" spans="27:27">
      <c r="AA426" s="76"/>
    </row>
    <row r="427" spans="27:27">
      <c r="AA427" s="76"/>
    </row>
    <row r="428" spans="27:27">
      <c r="AA428" s="76"/>
    </row>
    <row r="429" spans="27:27">
      <c r="AA429" s="76"/>
    </row>
    <row r="430" spans="27:27">
      <c r="AA430" s="76"/>
    </row>
    <row r="431" spans="27:27">
      <c r="AA431" s="76"/>
    </row>
    <row r="432" spans="27:27">
      <c r="AA432" s="76"/>
    </row>
    <row r="433" spans="27:27">
      <c r="AA433" s="76"/>
    </row>
    <row r="434" spans="27:27">
      <c r="AA434" s="76"/>
    </row>
    <row r="435" spans="27:27">
      <c r="AA435" s="76"/>
    </row>
    <row r="436" spans="27:27">
      <c r="AA436" s="76"/>
    </row>
    <row r="437" spans="27:27">
      <c r="AA437" s="76"/>
    </row>
    <row r="438" spans="27:27">
      <c r="AA438" s="76"/>
    </row>
    <row r="439" spans="27:27">
      <c r="AA439" s="76"/>
    </row>
    <row r="440" spans="27:27">
      <c r="AA440" s="76"/>
    </row>
    <row r="441" spans="27:27">
      <c r="AA441" s="76"/>
    </row>
    <row r="442" spans="27:27">
      <c r="AA442" s="76"/>
    </row>
    <row r="443" spans="27:27">
      <c r="AA443" s="76"/>
    </row>
    <row r="444" spans="27:27">
      <c r="AA444" s="76"/>
    </row>
    <row r="445" spans="27:27">
      <c r="AA445" s="76"/>
    </row>
    <row r="446" spans="27:27">
      <c r="AA446" s="76"/>
    </row>
    <row r="447" spans="27:27">
      <c r="AA447" s="76"/>
    </row>
    <row r="448" spans="27:27">
      <c r="AA448" s="76"/>
    </row>
    <row r="449" spans="27:27">
      <c r="AA449" s="76"/>
    </row>
    <row r="450" spans="27:27">
      <c r="AA450" s="76"/>
    </row>
    <row r="451" spans="27:27">
      <c r="AA451" s="76"/>
    </row>
    <row r="452" spans="27:27">
      <c r="AA452" s="76"/>
    </row>
    <row r="453" spans="27:27">
      <c r="AA453" s="76"/>
    </row>
    <row r="454" spans="27:27">
      <c r="AA454" s="76"/>
    </row>
    <row r="455" spans="27:27">
      <c r="AA455" s="76"/>
    </row>
    <row r="456" spans="27:27">
      <c r="AA456" s="76"/>
    </row>
    <row r="457" spans="27:27">
      <c r="AA457" s="76"/>
    </row>
    <row r="458" spans="27:27">
      <c r="AA458" s="76"/>
    </row>
    <row r="459" spans="27:27">
      <c r="AA459" s="76"/>
    </row>
    <row r="460" spans="27:27">
      <c r="AA460" s="76"/>
    </row>
    <row r="461" spans="27:27">
      <c r="AA461" s="76"/>
    </row>
    <row r="462" spans="27:27">
      <c r="AA462" s="76"/>
    </row>
    <row r="463" spans="27:27">
      <c r="AA463" s="76"/>
    </row>
    <row r="464" spans="27:27">
      <c r="AA464" s="76"/>
    </row>
    <row r="465" spans="27:27">
      <c r="AA465" s="76"/>
    </row>
    <row r="466" spans="27:27">
      <c r="AA466" s="76"/>
    </row>
    <row r="467" spans="27:27">
      <c r="AA467" s="76"/>
    </row>
    <row r="468" spans="27:27">
      <c r="AA468" s="76"/>
    </row>
    <row r="469" spans="27:27">
      <c r="AA469" s="76"/>
    </row>
    <row r="470" spans="27:27">
      <c r="AA470" s="76"/>
    </row>
    <row r="471" spans="27:27">
      <c r="AA471" s="76"/>
    </row>
    <row r="472" spans="27:27">
      <c r="AA472" s="76"/>
    </row>
    <row r="473" spans="27:27">
      <c r="AA473" s="76"/>
    </row>
    <row r="474" spans="27:27">
      <c r="AA474" s="76"/>
    </row>
    <row r="475" spans="27:27">
      <c r="AA475" s="76"/>
    </row>
    <row r="476" spans="27:27">
      <c r="AA476" s="76"/>
    </row>
    <row r="477" spans="27:27">
      <c r="AA477" s="76"/>
    </row>
    <row r="478" spans="27:27">
      <c r="AA478" s="76"/>
    </row>
    <row r="479" spans="27:27">
      <c r="AA479" s="76"/>
    </row>
    <row r="480" spans="27:27">
      <c r="AA480" s="76"/>
    </row>
    <row r="481" spans="27:27">
      <c r="AA481" s="76"/>
    </row>
    <row r="482" spans="27:27">
      <c r="AA482" s="76"/>
    </row>
    <row r="483" spans="27:27">
      <c r="AA483" s="76"/>
    </row>
    <row r="484" spans="27:27">
      <c r="AA484" s="76"/>
    </row>
    <row r="485" spans="27:27">
      <c r="AA485" s="76"/>
    </row>
    <row r="486" spans="27:27">
      <c r="AA486" s="76"/>
    </row>
    <row r="487" spans="27:27">
      <c r="AA487" s="76"/>
    </row>
    <row r="488" spans="27:27">
      <c r="AA488" s="76"/>
    </row>
    <row r="489" spans="27:27">
      <c r="AA489" s="76"/>
    </row>
    <row r="490" spans="27:27">
      <c r="AA490" s="76"/>
    </row>
    <row r="491" spans="27:27">
      <c r="AA491" s="76"/>
    </row>
    <row r="492" spans="27:27">
      <c r="AA492" s="76"/>
    </row>
    <row r="493" spans="27:27">
      <c r="AA493" s="76"/>
    </row>
    <row r="494" spans="27:27">
      <c r="AA494" s="76"/>
    </row>
    <row r="495" spans="27:27">
      <c r="AA495" s="76"/>
    </row>
    <row r="496" spans="27:27">
      <c r="AA496" s="76"/>
    </row>
    <row r="497" spans="27:27">
      <c r="AA497" s="76"/>
    </row>
    <row r="498" spans="27:27">
      <c r="AA498" s="76"/>
    </row>
    <row r="499" spans="27:27">
      <c r="AA499" s="76"/>
    </row>
    <row r="500" spans="27:27">
      <c r="AA500" s="76"/>
    </row>
    <row r="501" spans="27:27">
      <c r="AA501" s="76"/>
    </row>
    <row r="502" spans="27:27">
      <c r="AA502" s="76"/>
    </row>
    <row r="503" spans="27:27">
      <c r="AA503" s="76"/>
    </row>
    <row r="504" spans="27:27">
      <c r="AA504" s="76"/>
    </row>
    <row r="505" spans="27:27">
      <c r="AA505" s="76"/>
    </row>
    <row r="506" spans="27:27">
      <c r="AA506" s="76"/>
    </row>
    <row r="507" spans="27:27">
      <c r="AA507" s="76"/>
    </row>
    <row r="508" spans="27:27">
      <c r="AA508" s="76"/>
    </row>
    <row r="509" spans="27:27">
      <c r="AA509" s="76"/>
    </row>
    <row r="510" spans="27:27">
      <c r="AA510" s="76"/>
    </row>
    <row r="511" spans="27:27">
      <c r="AA511" s="76"/>
    </row>
    <row r="512" spans="27:27">
      <c r="AA512" s="76"/>
    </row>
    <row r="513" spans="27:27">
      <c r="AA513" s="76"/>
    </row>
    <row r="514" spans="27:27">
      <c r="AA514" s="76"/>
    </row>
    <row r="515" spans="27:27">
      <c r="AA515" s="76"/>
    </row>
    <row r="516" spans="27:27">
      <c r="AA516" s="76"/>
    </row>
    <row r="517" spans="27:27">
      <c r="AA517" s="76"/>
    </row>
    <row r="518" spans="27:27">
      <c r="AA518" s="76"/>
    </row>
    <row r="519" spans="27:27">
      <c r="AA519" s="76"/>
    </row>
    <row r="520" spans="27:27">
      <c r="AA520" s="76"/>
    </row>
  </sheetData>
  <autoFilter ref="A3:HQ35" xr:uid="{1770B7B4-F8E0-43FC-879F-12FE44B116DB}"/>
  <dataConsolidate/>
  <mergeCells count="3">
    <mergeCell ref="P2:Q2"/>
    <mergeCell ref="F1:G1"/>
    <mergeCell ref="E2:M2"/>
  </mergeCells>
  <phoneticPr fontId="1"/>
  <conditionalFormatting sqref="B4:C35">
    <cfRule type="expression" dxfId="5" priority="20" stopIfTrue="1">
      <formula>IF(COUNTIF(B:B,B4)&gt;1,TRUE,FALSE)</formula>
    </cfRule>
  </conditionalFormatting>
  <conditionalFormatting sqref="AB4:HC35">
    <cfRule type="expression" dxfId="4" priority="1135" stopIfTrue="1">
      <formula>IF($R4&lt;&gt;"",IF(OR(AND($R4&lt;=AB$2,$S4&lt;&gt;"",$S4&gt;=AB$2),AND($R4&lt;=AB$2,$S4="",DATE(2023,7,29)&gt;=AB$2)),TRUE,FALSE),FALSE)</formula>
    </cfRule>
    <cfRule type="expression" dxfId="3" priority="1136" stopIfTrue="1">
      <formula>IF(AA$2="備考",FALSE,IF(TEXT(AB$3,"aaa")="月",TRUE,FALSE))</formula>
    </cfRule>
    <cfRule type="expression" dxfId="2" priority="1137" stopIfTrue="1">
      <formula>IF(AA$2="備考",FALSE,IF(TEXT(AB$3,"aaa")="月",FALSE,TRUE))</formula>
    </cfRule>
  </conditionalFormatting>
  <conditionalFormatting sqref="O4:O35">
    <cfRule type="expression" dxfId="1" priority="1138" stopIfTrue="1">
      <formula>IF(AND(P4&lt;&gt;"",O4=""),TRUE,FALSE)</formula>
    </cfRule>
  </conditionalFormatting>
  <conditionalFormatting sqref="T4:T35">
    <cfRule type="expression" dxfId="0" priority="1139" stopIfTrue="1">
      <formula>IF(OR(AND(R4&lt;&gt;"",T4=""),AND(S4="",T4=100%),AND(S4&lt;&gt;"",T4&lt;&gt;100%,T4&lt;&gt;"")),TRUE,FALSE)</formula>
    </cfRule>
  </conditionalFormatting>
  <dataValidations xWindow="1298" yWindow="370" count="5">
    <dataValidation allowBlank="1" showInputMessage="1" showErrorMessage="1" promptTitle="五反田式進捗管理ツール" prompt="手入力しないで下さい。" sqref="AA1 P36:Q65362 B36:C65362 Y36:Z65362 V36:W36 V38:W65362 U4:U65362" xr:uid="{92ECE619-CB47-4528-A330-C67C02E4A16C}"/>
    <dataValidation allowBlank="1" showErrorMessage="1" sqref="H1:M1 A1:E3 X1:X3 V1 V2:W2 Y1:Z2 F3:M3 N1:U3" xr:uid="{845BA14F-68A8-4AEE-A55A-DD3EB53C714B}"/>
    <dataValidation type="list" allowBlank="1" showErrorMessage="1" sqref="F1" xr:uid="{696CBCF5-863A-49E8-A52D-2899F73C34BD}">
      <formula1>$E$3:$M$3</formula1>
    </dataValidation>
    <dataValidation showInputMessage="1" showErrorMessage="1" sqref="A4:A34" xr:uid="{68AA3895-3668-4409-8FDA-12FE42ABB938}"/>
    <dataValidation allowBlank="1" showInputMessage="1" showErrorMessage="1" prompt="手入力しないで下さい。" sqref="B4:C35 P4:Q35 V4:W35 Y4:Z35" xr:uid="{E2173846-4696-4BC6-98C9-9D8F53A03F5E}"/>
  </dataValidations>
  <pageMargins left="0.31496062992125984" right="0.31496062992125984" top="0.35433070866141736" bottom="0.35433070866141736" header="0.31496062992125984" footer="0.31496062992125984"/>
  <pageSetup paperSize="8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under_line_mak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underLineDelete">
                <anchor moveWithCells="1" sizeWithCells="1">
                  <from>
                    <xdr:col>1</xdr:col>
                    <xdr:colOff>285750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filterByTaskLevel">
                <anchor moveWithCells="1" sizeWithCells="1">
                  <from>
                    <xdr:col>7</xdr:col>
                    <xdr:colOff>200025</xdr:colOff>
                    <xdr:row>0</xdr:row>
                    <xdr:rowOff>0</xdr:rowOff>
                  </from>
                  <to>
                    <xdr:col>12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EditScheduleFromDateMain">
                <anchor moveWithCells="1" sizeWithCells="1">
                  <from>
                    <xdr:col>12</xdr:col>
                    <xdr:colOff>809625</xdr:colOff>
                    <xdr:row>0</xdr:row>
                    <xdr:rowOff>9525</xdr:rowOff>
                  </from>
                  <to>
                    <xdr:col>14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F95F-C39E-421D-9E74-0F86152D2142}">
  <sheetPr codeName="Sheet2"/>
  <dimension ref="A1:C5"/>
  <sheetViews>
    <sheetView tabSelected="1" workbookViewId="0">
      <selection activeCell="B10" sqref="B10"/>
    </sheetView>
  </sheetViews>
  <sheetFormatPr defaultColWidth="9" defaultRowHeight="18.75"/>
  <cols>
    <col min="1" max="1" width="35.5" style="57" customWidth="1"/>
    <col min="2" max="2" width="38.375" style="57" customWidth="1"/>
    <col min="3" max="3" width="78.75" style="57" bestFit="1" customWidth="1"/>
    <col min="4" max="16384" width="9" style="59"/>
  </cols>
  <sheetData>
    <row r="1" spans="1:3">
      <c r="A1" s="58" t="s">
        <v>64</v>
      </c>
      <c r="B1" s="58" t="s">
        <v>65</v>
      </c>
      <c r="C1" s="58" t="s">
        <v>67</v>
      </c>
    </row>
    <row r="2" spans="1:3" ht="37.5">
      <c r="A2" s="57" t="s">
        <v>66</v>
      </c>
      <c r="B2" s="57" t="s">
        <v>85</v>
      </c>
      <c r="C2" s="57" t="s">
        <v>102</v>
      </c>
    </row>
    <row r="3" spans="1:3" ht="37.5">
      <c r="A3" s="57" t="s">
        <v>69</v>
      </c>
      <c r="B3" s="57" t="s">
        <v>86</v>
      </c>
      <c r="C3" s="57" t="s">
        <v>70</v>
      </c>
    </row>
    <row r="4" spans="1:3" ht="75">
      <c r="A4" s="57" t="s">
        <v>68</v>
      </c>
      <c r="C4" s="57" t="s">
        <v>74</v>
      </c>
    </row>
    <row r="5" spans="1:3">
      <c r="A5" s="57" t="s">
        <v>71</v>
      </c>
      <c r="B5" s="57" t="s">
        <v>75</v>
      </c>
      <c r="C5" s="57" t="s">
        <v>73</v>
      </c>
    </row>
  </sheetData>
  <phoneticPr fontId="1"/>
  <dataValidations count="3">
    <dataValidation type="list" allowBlank="1" showInputMessage="1" showErrorMessage="1" sqref="B2" xr:uid="{A6D01B46-434F-4843-9BC5-F5C9EE52F3AB}">
      <formula1>"しない,暦日,土日のみ考慮の稼働日数,休日テーブル考慮の稼働日数"</formula1>
    </dataValidation>
    <dataValidation type="list" allowBlank="1" showInputMessage="1" showErrorMessage="1" sqref="B3" xr:uid="{F10C1DD7-B6EC-4558-865D-E29D6707A52C}">
      <formula1>"設定する,設定しない"</formula1>
    </dataValidation>
    <dataValidation type="list" allowBlank="1" showInputMessage="1" showErrorMessage="1" sqref="B5" xr:uid="{2E73E6BC-743B-48E2-95C2-B737223DBCAC}">
      <formula1>"表示する,表示しない"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99617-00F9-48A8-BAF2-062EBCE01169}">
  <sheetPr codeName="Sheet9"/>
  <dimension ref="A1:D58"/>
  <sheetViews>
    <sheetView workbookViewId="0">
      <selection activeCell="H43" sqref="H43"/>
    </sheetView>
  </sheetViews>
  <sheetFormatPr defaultRowHeight="18.75"/>
  <cols>
    <col min="1" max="1" width="16.125" style="9" bestFit="1" customWidth="1"/>
    <col min="2" max="2" width="23.75" bestFit="1" customWidth="1"/>
    <col min="3" max="3" width="16.125" customWidth="1"/>
  </cols>
  <sheetData>
    <row r="1" spans="1:4">
      <c r="A1" s="9" t="s">
        <v>17</v>
      </c>
      <c r="B1" t="s">
        <v>18</v>
      </c>
      <c r="C1" t="s">
        <v>19</v>
      </c>
      <c r="D1" t="s">
        <v>20</v>
      </c>
    </row>
    <row r="2" spans="1:4">
      <c r="A2" s="10">
        <v>44562</v>
      </c>
      <c r="B2" t="s">
        <v>21</v>
      </c>
      <c r="C2" t="s">
        <v>22</v>
      </c>
    </row>
    <row r="3" spans="1:4">
      <c r="A3" s="10">
        <v>44563</v>
      </c>
      <c r="B3" t="s">
        <v>23</v>
      </c>
      <c r="C3" t="s">
        <v>24</v>
      </c>
    </row>
    <row r="4" spans="1:4">
      <c r="A4" s="10">
        <v>44564</v>
      </c>
      <c r="B4" t="s">
        <v>23</v>
      </c>
      <c r="C4" t="s">
        <v>25</v>
      </c>
    </row>
    <row r="5" spans="1:4">
      <c r="A5" s="10">
        <v>44571</v>
      </c>
      <c r="B5" t="s">
        <v>26</v>
      </c>
      <c r="C5" t="s">
        <v>27</v>
      </c>
    </row>
    <row r="6" spans="1:4">
      <c r="A6" s="10">
        <v>44603</v>
      </c>
      <c r="B6" t="s">
        <v>28</v>
      </c>
      <c r="C6" t="s">
        <v>29</v>
      </c>
    </row>
    <row r="7" spans="1:4">
      <c r="A7" s="10">
        <v>44615</v>
      </c>
      <c r="B7" t="s">
        <v>30</v>
      </c>
      <c r="C7" t="s">
        <v>31</v>
      </c>
    </row>
    <row r="8" spans="1:4">
      <c r="A8" s="10">
        <v>44641</v>
      </c>
      <c r="B8" t="s">
        <v>32</v>
      </c>
      <c r="C8" t="s">
        <v>33</v>
      </c>
    </row>
    <row r="9" spans="1:4">
      <c r="A9" s="10">
        <v>44680</v>
      </c>
      <c r="B9" t="s">
        <v>34</v>
      </c>
      <c r="C9" t="s">
        <v>35</v>
      </c>
    </row>
    <row r="10" spans="1:4">
      <c r="A10" s="10">
        <v>44684</v>
      </c>
      <c r="B10" t="s">
        <v>36</v>
      </c>
      <c r="C10" t="s">
        <v>37</v>
      </c>
    </row>
    <row r="11" spans="1:4">
      <c r="A11" s="10">
        <v>44685</v>
      </c>
      <c r="B11" t="s">
        <v>38</v>
      </c>
      <c r="C11" t="s">
        <v>39</v>
      </c>
    </row>
    <row r="12" spans="1:4">
      <c r="A12" s="10">
        <v>44686</v>
      </c>
      <c r="B12" t="s">
        <v>40</v>
      </c>
      <c r="C12" t="s">
        <v>41</v>
      </c>
    </row>
    <row r="13" spans="1:4">
      <c r="A13" s="10">
        <v>44760</v>
      </c>
      <c r="B13" t="s">
        <v>42</v>
      </c>
      <c r="C13" t="s">
        <v>43</v>
      </c>
    </row>
    <row r="14" spans="1:4">
      <c r="A14" s="10">
        <v>44784</v>
      </c>
      <c r="B14" t="s">
        <v>44</v>
      </c>
      <c r="C14" t="s">
        <v>45</v>
      </c>
    </row>
    <row r="15" spans="1:4">
      <c r="A15" s="10">
        <v>44823</v>
      </c>
      <c r="B15" t="s">
        <v>46</v>
      </c>
      <c r="C15" t="s">
        <v>47</v>
      </c>
    </row>
    <row r="16" spans="1:4">
      <c r="A16" s="10">
        <v>44827</v>
      </c>
      <c r="B16" t="s">
        <v>48</v>
      </c>
      <c r="C16" t="s">
        <v>33</v>
      </c>
    </row>
    <row r="17" spans="1:3">
      <c r="A17" s="10">
        <v>44844</v>
      </c>
      <c r="B17" t="s">
        <v>49</v>
      </c>
      <c r="C17" t="s">
        <v>50</v>
      </c>
    </row>
    <row r="18" spans="1:3">
      <c r="A18" s="10">
        <v>44868</v>
      </c>
      <c r="B18" t="s">
        <v>51</v>
      </c>
      <c r="C18" t="s">
        <v>52</v>
      </c>
    </row>
    <row r="19" spans="1:3">
      <c r="A19" s="10">
        <v>44888</v>
      </c>
      <c r="B19" t="s">
        <v>53</v>
      </c>
      <c r="C19" t="s">
        <v>54</v>
      </c>
    </row>
    <row r="20" spans="1:3">
      <c r="A20" s="10">
        <v>44926</v>
      </c>
      <c r="B20" t="s">
        <v>55</v>
      </c>
      <c r="C20" t="s">
        <v>56</v>
      </c>
    </row>
    <row r="21" spans="1:3">
      <c r="A21" s="10">
        <v>44927</v>
      </c>
      <c r="B21" t="s">
        <v>21</v>
      </c>
      <c r="C21" t="s">
        <v>22</v>
      </c>
    </row>
    <row r="22" spans="1:3">
      <c r="A22" s="10">
        <v>44928</v>
      </c>
      <c r="B22" t="s">
        <v>23</v>
      </c>
      <c r="C22" t="s">
        <v>24</v>
      </c>
    </row>
    <row r="23" spans="1:3">
      <c r="A23" s="10">
        <v>44929</v>
      </c>
      <c r="B23" t="s">
        <v>23</v>
      </c>
      <c r="C23" t="s">
        <v>25</v>
      </c>
    </row>
    <row r="24" spans="1:3">
      <c r="A24" s="10">
        <v>44935</v>
      </c>
      <c r="B24" t="s">
        <v>26</v>
      </c>
      <c r="C24" t="s">
        <v>27</v>
      </c>
    </row>
    <row r="25" spans="1:3">
      <c r="A25" s="10">
        <v>44968</v>
      </c>
      <c r="B25" t="s">
        <v>28</v>
      </c>
      <c r="C25" t="s">
        <v>29</v>
      </c>
    </row>
    <row r="26" spans="1:3">
      <c r="A26" s="10">
        <v>44980</v>
      </c>
      <c r="B26" t="s">
        <v>30</v>
      </c>
      <c r="C26" t="s">
        <v>31</v>
      </c>
    </row>
    <row r="27" spans="1:3">
      <c r="A27" s="10">
        <v>45006</v>
      </c>
      <c r="B27" t="s">
        <v>32</v>
      </c>
      <c r="C27" t="s">
        <v>33</v>
      </c>
    </row>
    <row r="28" spans="1:3">
      <c r="A28" s="10">
        <v>45045</v>
      </c>
      <c r="B28" t="s">
        <v>34</v>
      </c>
      <c r="C28" t="s">
        <v>35</v>
      </c>
    </row>
    <row r="29" spans="1:3">
      <c r="A29" s="10">
        <v>45049</v>
      </c>
      <c r="B29" t="s">
        <v>36</v>
      </c>
      <c r="C29" t="s">
        <v>37</v>
      </c>
    </row>
    <row r="30" spans="1:3">
      <c r="A30" s="10">
        <v>45050</v>
      </c>
      <c r="B30" t="s">
        <v>38</v>
      </c>
      <c r="C30" t="s">
        <v>39</v>
      </c>
    </row>
    <row r="31" spans="1:3">
      <c r="A31" s="10">
        <v>45051</v>
      </c>
      <c r="B31" t="s">
        <v>40</v>
      </c>
      <c r="C31" t="s">
        <v>41</v>
      </c>
    </row>
    <row r="32" spans="1:3">
      <c r="A32" s="10">
        <v>45124</v>
      </c>
      <c r="B32" t="s">
        <v>42</v>
      </c>
      <c r="C32" t="s">
        <v>43</v>
      </c>
    </row>
    <row r="33" spans="1:4">
      <c r="A33" s="10">
        <v>45149</v>
      </c>
      <c r="B33" t="s">
        <v>44</v>
      </c>
      <c r="C33" t="s">
        <v>45</v>
      </c>
    </row>
    <row r="34" spans="1:4">
      <c r="A34" s="10">
        <v>45187</v>
      </c>
      <c r="B34" t="s">
        <v>46</v>
      </c>
      <c r="C34" t="s">
        <v>47</v>
      </c>
    </row>
    <row r="35" spans="1:4">
      <c r="A35" s="10">
        <v>45192</v>
      </c>
      <c r="B35" t="s">
        <v>48</v>
      </c>
      <c r="C35" t="s">
        <v>33</v>
      </c>
    </row>
    <row r="36" spans="1:4">
      <c r="A36" s="10">
        <v>45208</v>
      </c>
      <c r="B36" t="s">
        <v>49</v>
      </c>
      <c r="C36" t="s">
        <v>50</v>
      </c>
    </row>
    <row r="37" spans="1:4">
      <c r="A37" s="10">
        <v>45233</v>
      </c>
      <c r="B37" t="s">
        <v>51</v>
      </c>
      <c r="C37" t="s">
        <v>52</v>
      </c>
    </row>
    <row r="38" spans="1:4">
      <c r="A38" s="10">
        <v>45253</v>
      </c>
      <c r="B38" t="s">
        <v>53</v>
      </c>
      <c r="C38" t="s">
        <v>54</v>
      </c>
    </row>
    <row r="39" spans="1:4">
      <c r="A39" s="10">
        <v>45291</v>
      </c>
      <c r="B39" t="s">
        <v>55</v>
      </c>
      <c r="C39" t="s">
        <v>56</v>
      </c>
    </row>
    <row r="40" spans="1:4">
      <c r="A40" s="10">
        <v>45292</v>
      </c>
      <c r="B40" t="s">
        <v>21</v>
      </c>
      <c r="C40" t="s">
        <v>22</v>
      </c>
    </row>
    <row r="41" spans="1:4">
      <c r="A41" s="10">
        <v>45293</v>
      </c>
      <c r="B41" t="s">
        <v>23</v>
      </c>
      <c r="C41" t="s">
        <v>24</v>
      </c>
    </row>
    <row r="42" spans="1:4">
      <c r="A42" s="10">
        <v>45294</v>
      </c>
      <c r="B42" t="s">
        <v>23</v>
      </c>
      <c r="C42" t="s">
        <v>25</v>
      </c>
    </row>
    <row r="43" spans="1:4">
      <c r="A43" s="10">
        <v>45299</v>
      </c>
      <c r="B43" t="s">
        <v>26</v>
      </c>
      <c r="C43" t="s">
        <v>27</v>
      </c>
    </row>
    <row r="44" spans="1:4">
      <c r="A44" s="10">
        <v>45334</v>
      </c>
      <c r="B44" t="s">
        <v>28</v>
      </c>
      <c r="C44" t="s">
        <v>29</v>
      </c>
      <c r="D44" t="s">
        <v>58</v>
      </c>
    </row>
    <row r="45" spans="1:4">
      <c r="A45" s="10">
        <v>45345</v>
      </c>
      <c r="B45" t="s">
        <v>30</v>
      </c>
      <c r="C45" t="s">
        <v>31</v>
      </c>
    </row>
    <row r="46" spans="1:4">
      <c r="A46" s="10">
        <v>45371</v>
      </c>
      <c r="B46" t="s">
        <v>32</v>
      </c>
      <c r="C46" t="s">
        <v>33</v>
      </c>
    </row>
    <row r="47" spans="1:4">
      <c r="A47" s="10">
        <v>45411</v>
      </c>
      <c r="B47" t="s">
        <v>34</v>
      </c>
      <c r="C47" t="s">
        <v>35</v>
      </c>
    </row>
    <row r="48" spans="1:4">
      <c r="A48" s="10">
        <v>45415</v>
      </c>
      <c r="B48" t="s">
        <v>36</v>
      </c>
      <c r="C48" t="s">
        <v>37</v>
      </c>
    </row>
    <row r="49" spans="1:4">
      <c r="A49" s="10">
        <v>45416</v>
      </c>
      <c r="B49" t="s">
        <v>38</v>
      </c>
      <c r="C49" t="s">
        <v>39</v>
      </c>
    </row>
    <row r="50" spans="1:4">
      <c r="A50" s="10">
        <v>45418</v>
      </c>
      <c r="B50" t="s">
        <v>40</v>
      </c>
      <c r="C50" t="s">
        <v>41</v>
      </c>
      <c r="D50" t="s">
        <v>58</v>
      </c>
    </row>
    <row r="51" spans="1:4">
      <c r="A51" s="10">
        <v>45488</v>
      </c>
      <c r="B51" t="s">
        <v>42</v>
      </c>
      <c r="C51" t="s">
        <v>43</v>
      </c>
    </row>
    <row r="52" spans="1:4">
      <c r="A52" s="10">
        <v>45516</v>
      </c>
      <c r="B52" t="s">
        <v>44</v>
      </c>
      <c r="C52" t="s">
        <v>45</v>
      </c>
      <c r="D52" t="s">
        <v>58</v>
      </c>
    </row>
    <row r="53" spans="1:4">
      <c r="A53" s="10">
        <v>45551</v>
      </c>
      <c r="B53" t="s">
        <v>46</v>
      </c>
      <c r="C53" t="s">
        <v>47</v>
      </c>
    </row>
    <row r="54" spans="1:4">
      <c r="A54" s="10">
        <v>45558</v>
      </c>
      <c r="B54" t="s">
        <v>48</v>
      </c>
      <c r="C54" t="s">
        <v>33</v>
      </c>
    </row>
    <row r="55" spans="1:4">
      <c r="A55" s="10">
        <v>45579</v>
      </c>
      <c r="B55" t="s">
        <v>49</v>
      </c>
      <c r="C55" t="s">
        <v>50</v>
      </c>
    </row>
    <row r="56" spans="1:4">
      <c r="A56" s="10">
        <v>45600</v>
      </c>
      <c r="B56" t="s">
        <v>51</v>
      </c>
      <c r="C56" t="s">
        <v>52</v>
      </c>
      <c r="D56" t="s">
        <v>58</v>
      </c>
    </row>
    <row r="57" spans="1:4">
      <c r="A57" s="10">
        <v>45619</v>
      </c>
      <c r="B57" t="s">
        <v>53</v>
      </c>
      <c r="C57" t="s">
        <v>54</v>
      </c>
    </row>
    <row r="58" spans="1:4">
      <c r="A58" s="10">
        <v>45657</v>
      </c>
      <c r="B58" t="s">
        <v>55</v>
      </c>
      <c r="C58" t="s">
        <v>56</v>
      </c>
    </row>
  </sheetData>
  <phoneticPr fontI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7248e4-f56d-4036-905e-eac4b92b55e9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9febbdd2-633f-4c53-acba-b302f760ed26">
      <Terms xmlns="http://schemas.microsoft.com/office/infopath/2007/PartnerControls"/>
    </lcf76f155ced4ddcb4097134ff3c332f>
    <_x5834__x6240_ xmlns="9febbdd2-633f-4c53-acba-b302f760ed2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6D7BC6F4B8D9B489B2A6B99DDEB8B30" ma:contentTypeVersion="25" ma:contentTypeDescription="新しいドキュメントを作成します。" ma:contentTypeScope="" ma:versionID="057186caffd99d9872cea368df8ed428">
  <xsd:schema xmlns:xsd="http://www.w3.org/2001/XMLSchema" xmlns:xs="http://www.w3.org/2001/XMLSchema" xmlns:p="http://schemas.microsoft.com/office/2006/metadata/properties" xmlns:ns1="http://schemas.microsoft.com/sharepoint/v3" xmlns:ns2="9febbdd2-633f-4c53-acba-b302f760ed26" xmlns:ns3="d07248e4-f56d-4036-905e-eac4b92b55e9" targetNamespace="http://schemas.microsoft.com/office/2006/metadata/properties" ma:root="true" ma:fieldsID="2f2e86bc4e0576974e9233a0bf9adfcc" ns1:_="" ns2:_="" ns3:_="">
    <xsd:import namespace="http://schemas.microsoft.com/sharepoint/v3"/>
    <xsd:import namespace="9febbdd2-633f-4c53-acba-b302f760ed26"/>
    <xsd:import namespace="d07248e4-f56d-4036-905e-eac4b92b55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  <xsd:element ref="ns2:_x5834__x6240_" minOccurs="0"/>
                <xsd:element ref="ns2:ac9de85b-a2e1-461b-9ff9-d5dcd0613e56CountryOrRegion" minOccurs="0"/>
                <xsd:element ref="ns2:ac9de85b-a2e1-461b-9ff9-d5dcd0613e56State" minOccurs="0"/>
                <xsd:element ref="ns2:ac9de85b-a2e1-461b-9ff9-d5dcd0613e56City" minOccurs="0"/>
                <xsd:element ref="ns2:ac9de85b-a2e1-461b-9ff9-d5dcd0613e56PostalCode" minOccurs="0"/>
                <xsd:element ref="ns2:ac9de85b-a2e1-461b-9ff9-d5dcd0613e56Street" minOccurs="0"/>
                <xsd:element ref="ns2:ac9de85b-a2e1-461b-9ff9-d5dcd0613e56GeoLoc" minOccurs="0"/>
                <xsd:element ref="ns2:ac9de85b-a2e1-461b-9ff9-d5dcd0613e56DispNam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ebbdd2-633f-4c53-acba-b302f760ed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8ddf1af0-2bcb-4b32-a591-8cd61793ae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_x5834__x6240_" ma:index="24" nillable="true" ma:displayName="場所" ma:format="Dropdown" ma:internalName="_x5834__x6240_">
      <xsd:simpleType>
        <xsd:restriction base="dms:Unknown"/>
      </xsd:simpleType>
    </xsd:element>
    <xsd:element name="ac9de85b-a2e1-461b-9ff9-d5dcd0613e56CountryOrRegion" ma:index="25" nillable="true" ma:displayName="場所: 国/地域" ma:internalName="CountryOrRegion" ma:readOnly="true">
      <xsd:simpleType>
        <xsd:restriction base="dms:Text"/>
      </xsd:simpleType>
    </xsd:element>
    <xsd:element name="ac9de85b-a2e1-461b-9ff9-d5dcd0613e56State" ma:index="26" nillable="true" ma:displayName="場所: 都道府県" ma:internalName="State" ma:readOnly="true">
      <xsd:simpleType>
        <xsd:restriction base="dms:Text"/>
      </xsd:simpleType>
    </xsd:element>
    <xsd:element name="ac9de85b-a2e1-461b-9ff9-d5dcd0613e56City" ma:index="27" nillable="true" ma:displayName="場所:市区町村" ma:internalName="City" ma:readOnly="true">
      <xsd:simpleType>
        <xsd:restriction base="dms:Text"/>
      </xsd:simpleType>
    </xsd:element>
    <xsd:element name="ac9de85b-a2e1-461b-9ff9-d5dcd0613e56PostalCode" ma:index="28" nillable="true" ma:displayName="場所: 郵便番号コード" ma:internalName="PostalCode" ma:readOnly="true">
      <xsd:simpleType>
        <xsd:restriction base="dms:Text"/>
      </xsd:simpleType>
    </xsd:element>
    <xsd:element name="ac9de85b-a2e1-461b-9ff9-d5dcd0613e56Street" ma:index="29" nillable="true" ma:displayName="場所: 番地" ma:internalName="Street" ma:readOnly="true">
      <xsd:simpleType>
        <xsd:restriction base="dms:Text"/>
      </xsd:simpleType>
    </xsd:element>
    <xsd:element name="ac9de85b-a2e1-461b-9ff9-d5dcd0613e56GeoLoc" ma:index="30" nillable="true" ma:displayName="場所: 座標" ma:internalName="GeoLoc" ma:readOnly="true">
      <xsd:simpleType>
        <xsd:restriction base="dms:Unknown"/>
      </xsd:simpleType>
    </xsd:element>
    <xsd:element name="ac9de85b-a2e1-461b-9ff9-d5dcd0613e56DispName" ma:index="31" nillable="true" ma:displayName="場所: 名前" ma:internalName="DispName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248e4-f56d-4036-905e-eac4b92b55e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a0510643-f935-4dbc-ac5f-bb17e4e6ca0d}" ma:internalName="TaxCatchAll" ma:showField="CatchAllData" ma:web="d07248e4-f56d-4036-905e-eac4b92b55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6F549C-FE2B-4EF0-BC0F-9C644AA38865}">
  <ds:schemaRefs>
    <ds:schemaRef ds:uri="http://purl.org/dc/dcmitype/"/>
    <ds:schemaRef ds:uri="d07248e4-f56d-4036-905e-eac4b92b55e9"/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9febbdd2-633f-4c53-acba-b302f760ed2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3BDC844-74CA-440D-A60E-759901A42A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35CDEC-1BF3-4C3A-B2A5-F9BC2B65CB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febbdd2-633f-4c53-acba-b302f760ed26"/>
    <ds:schemaRef ds:uri="d07248e4-f56d-4036-905e-eac4b92b55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ガントチャート</vt:lpstr>
      <vt:lpstr>設定</vt:lpstr>
      <vt:lpstr>休日テーブル</vt:lpstr>
      <vt:lpstr>ガントチャート!Print_Titles</vt:lpstr>
      <vt:lpstr>ガントチャート!ガントチャート行挿入位置</vt:lpstr>
      <vt:lpstr>ガントチャート!ガントチャート列挿入位置</vt:lpstr>
      <vt:lpstr>ガントチャート!タスク列範囲</vt:lpstr>
      <vt:lpstr>ガントチャート!絞り込みレベル</vt:lpstr>
      <vt:lpstr>ガントチャート!雷線基準日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永本 裕貴</dc:creator>
  <cp:keywords/>
  <dc:description/>
  <cp:lastModifiedBy>五反田基秀</cp:lastModifiedBy>
  <cp:revision/>
  <cp:lastPrinted>2023-01-03T07:24:43Z</cp:lastPrinted>
  <dcterms:created xsi:type="dcterms:W3CDTF">2015-06-05T18:19:34Z</dcterms:created>
  <dcterms:modified xsi:type="dcterms:W3CDTF">2024-12-30T07:06:52Z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0x01010016D7BC6F4B8D9B489B2A6B99DDEB8B30</vt:lpwstr>
  </property>
  <property fmtid="{D5CDD505-2E9C-101B-9397-08002B2CF9AE}" pid="3" name="MediaServiceImageTags">
    <vt:lpwstr/>
  </property>
</Properties>
</file>